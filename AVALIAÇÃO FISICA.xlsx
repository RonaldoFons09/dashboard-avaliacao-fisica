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hidden" name="13062023" sheetId="2" r:id="rId6"/>
    <sheet state="hidden" name="20072023" sheetId="3" r:id="rId7"/>
    <sheet state="hidden" name="12082023" sheetId="4" r:id="rId8"/>
    <sheet state="hidden" name="25082024" sheetId="5" r:id="rId9"/>
    <sheet state="hidden" name="21102024" sheetId="6" r:id="rId10"/>
    <sheet state="hidden" name="Ianca | 21112024" sheetId="7" r:id="rId11"/>
    <sheet state="hidden" name="Ianca | 05012025" sheetId="8" r:id="rId12"/>
    <sheet state="hidden" name="Ianca | 31082025" sheetId="9" r:id="rId13"/>
    <sheet state="hidden" name="Ronaldo | 21122024" sheetId="10" r:id="rId14"/>
    <sheet state="hidden" name="Ronaldo | 16032025" sheetId="11" r:id="rId15"/>
    <sheet state="hidden" name="Ronaldo | 31082025" sheetId="12" r:id="rId16"/>
    <sheet state="hidden" name="Ronaldo | 23102025" sheetId="13" r:id="rId17"/>
    <sheet state="hidden" name="Ianca | 02042025" sheetId="14" r:id="rId18"/>
    <sheet state="hidden" name="Ianca 25042025" sheetId="15" r:id="rId19"/>
    <sheet state="hidden" name=" Ianca 20072025" sheetId="16" r:id="rId20"/>
    <sheet state="hidden" name="Ianca 08122025" sheetId="17" r:id="rId21"/>
    <sheet state="visible" name="Ronaldo | 02012026" sheetId="18" r:id="rId22"/>
  </sheets>
  <definedNames/>
  <calcPr/>
</workbook>
</file>

<file path=xl/sharedStrings.xml><?xml version="1.0" encoding="utf-8"?>
<sst xmlns="http://schemas.openxmlformats.org/spreadsheetml/2006/main" count="1052" uniqueCount="58">
  <si>
    <t>GASTO CALORICO POR INTENSIDADE DO TREINO</t>
  </si>
  <si>
    <t>ADAPTAÇÃO</t>
  </si>
  <si>
    <t>INICIANTE</t>
  </si>
  <si>
    <t>INTERMÉDIARIO</t>
  </si>
  <si>
    <t>AVANÇADO</t>
  </si>
  <si>
    <t xml:space="preserve">NDC </t>
  </si>
  <si>
    <t>Sedentário</t>
  </si>
  <si>
    <t>Moderado</t>
  </si>
  <si>
    <t>Intenso</t>
  </si>
  <si>
    <t>DATA DA AVALIAÇÃO</t>
  </si>
  <si>
    <t>Nome</t>
  </si>
  <si>
    <t>Genero</t>
  </si>
  <si>
    <t>Idade</t>
  </si>
  <si>
    <t>Peso (kg)</t>
  </si>
  <si>
    <t>Altura (cm)</t>
  </si>
  <si>
    <t>Data de nascimento</t>
  </si>
  <si>
    <t>Biotipo</t>
  </si>
  <si>
    <t xml:space="preserve">Ronaldo </t>
  </si>
  <si>
    <t>Masculino</t>
  </si>
  <si>
    <t>Mesormofo</t>
  </si>
  <si>
    <t>Perimetro</t>
  </si>
  <si>
    <t>Lado direito</t>
  </si>
  <si>
    <t>Lado esquerdo</t>
  </si>
  <si>
    <t>Uni</t>
  </si>
  <si>
    <t>Relaxado</t>
  </si>
  <si>
    <t>contraído</t>
  </si>
  <si>
    <t>Braço</t>
  </si>
  <si>
    <t>-</t>
  </si>
  <si>
    <t>Antebraço</t>
  </si>
  <si>
    <t>Ombro</t>
  </si>
  <si>
    <t>Tórax</t>
  </si>
  <si>
    <t>Cintura</t>
  </si>
  <si>
    <t>Abdomên</t>
  </si>
  <si>
    <t>IMC</t>
  </si>
  <si>
    <t>TMB</t>
  </si>
  <si>
    <t>SITE TMB</t>
  </si>
  <si>
    <t>Quadril</t>
  </si>
  <si>
    <t>Coxa superior</t>
  </si>
  <si>
    <t>Coxa média</t>
  </si>
  <si>
    <t>Coxa Inferior</t>
  </si>
  <si>
    <t>Panturrilha</t>
  </si>
  <si>
    <t>PREENCHIMENTO DE DADOS</t>
  </si>
  <si>
    <t>Altura</t>
  </si>
  <si>
    <t>ANALISE DE DESEMPENHO</t>
  </si>
  <si>
    <t>Comparação perimetro do mês 06/2023 ao 07/2023</t>
  </si>
  <si>
    <t>REFERÊNCIA SITE TMB</t>
  </si>
  <si>
    <t>Relaxado (cm)</t>
  </si>
  <si>
    <t>contraído (cm)</t>
  </si>
  <si>
    <t xml:space="preserve">TMB + TBL </t>
  </si>
  <si>
    <t>TMB + TBL + TRN</t>
  </si>
  <si>
    <t>Comparação perimetro do mês 07/2023 ao 08/2023</t>
  </si>
  <si>
    <t xml:space="preserve">Comparação perimetro do mês </t>
  </si>
  <si>
    <t xml:space="preserve">Ianca </t>
  </si>
  <si>
    <t>Feminino</t>
  </si>
  <si>
    <t>Ectomofo</t>
  </si>
  <si>
    <t>Comparação perimetro: 21/11/2024 - 05/01/2025</t>
  </si>
  <si>
    <t>Ianca</t>
  </si>
  <si>
    <t>Ronaldo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</si>
</sst>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12">
    <font>
      <sz val="10.0"/>
      <color rgb="FF000000"/>
      <name val="Arial"/>
      <scheme val="minor"/>
    </font>
    <font>
      <sz val="11.0"/>
      <color theme="1"/>
      <name val="Calibri"/>
    </font>
    <font/>
    <font>
      <color theme="1"/>
      <name val="Arial"/>
      <scheme val="minor"/>
    </font>
    <font>
      <u/>
      <sz val="9.0"/>
      <color rgb="FF56A3F1"/>
      <name val="Arial"/>
      <scheme val="minor"/>
    </font>
    <font>
      <b/>
      <i/>
      <sz val="15.0"/>
      <color theme="1"/>
      <name val="Arial"/>
    </font>
    <font>
      <b/>
      <i/>
      <color theme="1"/>
      <name val="Arial"/>
      <scheme val="minor"/>
    </font>
    <font>
      <u/>
      <sz val="9.0"/>
      <color rgb="FF56A3F1"/>
    </font>
    <font>
      <u/>
      <sz val="6.0"/>
      <color rgb="FF56A3F1"/>
      <name val="Arial"/>
      <scheme val="minor"/>
    </font>
    <font>
      <u/>
      <sz val="9.0"/>
      <color rgb="FF56A3F1"/>
    </font>
    <font>
      <color rgb="FF181A1B"/>
      <name val="Arial"/>
      <scheme val="minor"/>
    </font>
    <font>
      <u/>
      <sz val="9.0"/>
      <color rgb="FF5AADF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76A5AF"/>
        <bgColor rgb="FF76A5A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bottom style="thick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5" fillId="0" fontId="2" numFmtId="0" xfId="0" applyBorder="1" applyFont="1"/>
    <xf borderId="9" fillId="0" fontId="3" numFmtId="0" xfId="0" applyAlignment="1" applyBorder="1" applyFont="1">
      <alignment readingOrder="0"/>
    </xf>
    <xf borderId="9" fillId="0" fontId="3" numFmtId="0" xfId="0" applyAlignment="1" applyBorder="1" applyFont="1">
      <alignment horizontal="center" readingOrder="0"/>
    </xf>
    <xf borderId="9" fillId="2" fontId="3" numFmtId="0" xfId="0" applyAlignment="1" applyBorder="1" applyFill="1" applyFont="1">
      <alignment horizontal="center" readingOrder="0"/>
    </xf>
    <xf borderId="9" fillId="0" fontId="3" numFmtId="164" xfId="0" applyAlignment="1" applyBorder="1" applyFont="1" applyNumberFormat="1">
      <alignment horizontal="center" readingOrder="0"/>
    </xf>
    <xf borderId="10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1" fillId="0" fontId="3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12" fillId="0" fontId="3" numFmtId="0" xfId="0" applyAlignment="1" applyBorder="1" applyFont="1">
      <alignment horizontal="left"/>
    </xf>
    <xf borderId="12" fillId="0" fontId="3" numFmtId="0" xfId="0" applyAlignment="1" applyBorder="1" applyFont="1">
      <alignment horizontal="left" readingOrder="0"/>
    </xf>
    <xf borderId="13" fillId="0" fontId="3" numFmtId="164" xfId="0" applyAlignment="1" applyBorder="1" applyFont="1" applyNumberFormat="1">
      <alignment horizontal="left" readingOrder="0"/>
    </xf>
    <xf borderId="13" fillId="0" fontId="3" numFmtId="0" xfId="0" applyAlignment="1" applyBorder="1" applyFont="1">
      <alignment horizontal="left" readingOrder="0"/>
    </xf>
    <xf borderId="0" fillId="3" fontId="5" numFmtId="0" xfId="0" applyAlignment="1" applyFill="1" applyFont="1">
      <alignment horizontal="center" readingOrder="0" vertical="center"/>
    </xf>
    <xf borderId="14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14" fillId="3" fontId="3" numFmtId="0" xfId="0" applyAlignment="1" applyBorder="1" applyFont="1">
      <alignment horizontal="center" readingOrder="0" vertical="center"/>
    </xf>
    <xf borderId="4" fillId="0" fontId="2" numFmtId="0" xfId="0" applyBorder="1" applyFont="1"/>
    <xf borderId="14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readingOrder="0"/>
    </xf>
    <xf borderId="15" fillId="0" fontId="3" numFmtId="0" xfId="0" applyAlignment="1" applyBorder="1" applyFont="1">
      <alignment horizontal="center" readingOrder="0"/>
    </xf>
    <xf borderId="15" fillId="0" fontId="6" numFmtId="0" xfId="0" applyAlignment="1" applyBorder="1" applyFont="1">
      <alignment horizontal="center" readingOrder="0"/>
    </xf>
    <xf borderId="0" fillId="0" fontId="3" numFmtId="2" xfId="0" applyFont="1" applyNumberFormat="1"/>
    <xf borderId="0" fillId="0" fontId="3" numFmtId="165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  <xf borderId="9" fillId="0" fontId="3" numFmtId="2" xfId="0" applyAlignment="1" applyBorder="1" applyFont="1" applyNumberFormat="1">
      <alignment horizontal="center"/>
    </xf>
    <xf borderId="9" fillId="0" fontId="3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5" fillId="0" fontId="3" numFmtId="0" xfId="0" applyAlignment="1" applyBorder="1" applyFont="1">
      <alignment horizontal="center"/>
    </xf>
    <xf borderId="16" fillId="0" fontId="3" numFmtId="0" xfId="0" applyBorder="1" applyFont="1"/>
    <xf borderId="0" fillId="4" fontId="3" numFmtId="0" xfId="0" applyAlignment="1" applyFill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14" fillId="5" fontId="3" numFmtId="0" xfId="0" applyAlignment="1" applyBorder="1" applyFont="1">
      <alignment horizontal="center"/>
    </xf>
    <xf borderId="1" fillId="5" fontId="3" numFmtId="0" xfId="0" applyAlignment="1" applyBorder="1" applyFont="1">
      <alignment horizontal="center" readingOrder="0"/>
    </xf>
    <xf borderId="14" fillId="5" fontId="3" numFmtId="0" xfId="0" applyAlignment="1" applyBorder="1" applyFont="1">
      <alignment horizontal="center" readingOrder="0" vertical="center"/>
    </xf>
    <xf borderId="14" fillId="5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 shrinkToFit="0" vertical="center" wrapText="1"/>
    </xf>
    <xf borderId="1" fillId="5" fontId="3" numFmtId="0" xfId="0" applyAlignment="1" applyBorder="1" applyFont="1">
      <alignment readingOrder="0"/>
    </xf>
    <xf borderId="15" fillId="6" fontId="3" numFmtId="0" xfId="0" applyAlignment="1" applyBorder="1" applyFill="1" applyFont="1">
      <alignment horizontal="center" readingOrder="0"/>
    </xf>
    <xf borderId="17" fillId="6" fontId="3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12" fillId="0" fontId="10" numFmtId="0" xfId="0" applyAlignment="1" applyBorder="1" applyFont="1">
      <alignment horizontal="left" readingOrder="0"/>
    </xf>
    <xf borderId="12" fillId="0" fontId="10" numFmtId="1" xfId="0" applyAlignment="1" applyBorder="1" applyFont="1" applyNumberFormat="1">
      <alignment horizontal="left" readingOrder="0"/>
    </xf>
    <xf borderId="15" fillId="0" fontId="3" numFmtId="0" xfId="0" applyAlignment="1" applyBorder="1" applyFont="1">
      <alignment readingOrder="0"/>
    </xf>
    <xf borderId="15" fillId="0" fontId="3" numFmtId="0" xfId="0" applyBorder="1" applyFont="1"/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17" fillId="6" fontId="3" numFmtId="1" xfId="0" applyAlignment="1" applyBorder="1" applyFont="1" applyNumberFormat="1">
      <alignment horizontal="center" readingOrder="0"/>
    </xf>
    <xf borderId="0" fillId="0" fontId="3" numFmtId="0" xfId="0" applyFont="1"/>
    <xf borderId="1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</xdr:row>
      <xdr:rowOff>0</xdr:rowOff>
    </xdr:from>
    <xdr:ext cx="2857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</xdr:row>
      <xdr:rowOff>0</xdr:rowOff>
    </xdr:from>
    <xdr:ext cx="2857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</xdr:row>
      <xdr:rowOff>0</xdr:rowOff>
    </xdr:from>
    <xdr:ext cx="2857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</xdr:row>
      <xdr:rowOff>0</xdr:rowOff>
    </xdr:from>
    <xdr:ext cx="2857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</xdr:row>
      <xdr:rowOff>0</xdr:rowOff>
    </xdr:from>
    <xdr:ext cx="2857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</xdr:row>
      <xdr:rowOff>0</xdr:rowOff>
    </xdr:from>
    <xdr:ext cx="2857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</xdr:row>
      <xdr:rowOff>0</xdr:rowOff>
    </xdr:from>
    <xdr:ext cx="2857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</xdr:row>
      <xdr:rowOff>0</xdr:rowOff>
    </xdr:from>
    <xdr:ext cx="2857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</xdr:row>
      <xdr:rowOff>0</xdr:rowOff>
    </xdr:from>
    <xdr:ext cx="2857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med.coop.br/portalunimed/aplicativos/tmb/" TargetMode="External"/><Relationship Id="rId2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</row>
    <row r="2">
      <c r="A2" s="5" t="s">
        <v>1</v>
      </c>
      <c r="B2" s="6">
        <f>200/2</f>
        <v>100</v>
      </c>
      <c r="C2" s="4"/>
      <c r="D2" s="4"/>
    </row>
    <row r="3">
      <c r="A3" s="5" t="s">
        <v>2</v>
      </c>
      <c r="B3" s="6">
        <f>300/2</f>
        <v>150</v>
      </c>
      <c r="C3" s="4"/>
      <c r="D3" s="4"/>
    </row>
    <row r="4">
      <c r="A4" s="5" t="s">
        <v>3</v>
      </c>
      <c r="B4" s="6">
        <f>375/2</f>
        <v>187.5</v>
      </c>
      <c r="C4" s="4"/>
      <c r="D4" s="4"/>
    </row>
    <row r="5">
      <c r="A5" s="5" t="s">
        <v>4</v>
      </c>
      <c r="B5" s="6">
        <f>700/2</f>
        <v>350</v>
      </c>
      <c r="C5" s="4"/>
      <c r="D5" s="4"/>
    </row>
    <row r="6">
      <c r="A6" s="4"/>
      <c r="B6" s="4"/>
      <c r="C6" s="4"/>
      <c r="D6" s="4"/>
    </row>
    <row r="7">
      <c r="A7" s="4"/>
      <c r="B7" s="4"/>
      <c r="C7" s="4"/>
      <c r="D7" s="4"/>
    </row>
    <row r="9">
      <c r="A9" s="7" t="s">
        <v>5</v>
      </c>
      <c r="B9" s="8"/>
    </row>
    <row r="10">
      <c r="A10" s="9"/>
      <c r="B10" s="10"/>
    </row>
    <row r="11">
      <c r="A11" s="11" t="s">
        <v>6</v>
      </c>
      <c r="B11" s="12">
        <v>1.2</v>
      </c>
    </row>
    <row r="12">
      <c r="A12" s="11" t="s">
        <v>7</v>
      </c>
      <c r="B12" s="12">
        <v>1.35</v>
      </c>
    </row>
    <row r="13">
      <c r="A13" s="11" t="s">
        <v>8</v>
      </c>
      <c r="B13" s="12">
        <v>1.5</v>
      </c>
    </row>
  </sheetData>
  <mergeCells count="2">
    <mergeCell ref="A1:C1"/>
    <mergeCell ref="A9:B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13"/>
    <col customWidth="1" min="5" max="5" width="17.25"/>
    <col customWidth="1" min="6" max="6" width="16.88"/>
    <col customWidth="1" min="7" max="7" width="16.0"/>
    <col customWidth="1" min="8" max="8" width="18.0"/>
    <col customWidth="1" min="9" max="9" width="17.0"/>
    <col customWidth="1" min="10" max="10" width="18.75"/>
    <col customWidth="1" min="11" max="11" width="21.0"/>
    <col customWidth="1" min="12" max="12" width="19.75"/>
    <col customWidth="1" min="13" max="13" width="11.75"/>
  </cols>
  <sheetData>
    <row r="1">
      <c r="I1" s="13" t="s">
        <v>9</v>
      </c>
    </row>
    <row r="2">
      <c r="I2" s="14">
        <v>45092.0</v>
      </c>
    </row>
    <row r="4">
      <c r="B4" s="15" t="s">
        <v>10</v>
      </c>
      <c r="C4" s="15" t="s">
        <v>11</v>
      </c>
      <c r="D4" s="15" t="s">
        <v>12</v>
      </c>
      <c r="E4" s="15" t="s">
        <v>13</v>
      </c>
      <c r="F4" s="15" t="s">
        <v>14</v>
      </c>
      <c r="G4" s="15" t="s">
        <v>15</v>
      </c>
      <c r="H4" s="15" t="s">
        <v>16</v>
      </c>
      <c r="M4" s="16"/>
    </row>
    <row r="5">
      <c r="B5" s="17" t="s">
        <v>17</v>
      </c>
      <c r="C5" s="18" t="s">
        <v>18</v>
      </c>
      <c r="D5" s="19">
        <f>ROUNDDOWN((TODAY() - G5) / 365, 0)
</f>
        <v>24</v>
      </c>
      <c r="E5" s="20">
        <v>95.6</v>
      </c>
      <c r="F5" s="20">
        <v>184.0</v>
      </c>
      <c r="G5" s="21">
        <v>37160.0</v>
      </c>
      <c r="H5" s="22" t="s">
        <v>19</v>
      </c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30">
        <v>32.0</v>
      </c>
      <c r="D13" s="30">
        <v>37.5</v>
      </c>
      <c r="E13" s="30">
        <v>32.0</v>
      </c>
      <c r="F13" s="30">
        <v>37.0</v>
      </c>
      <c r="G13" s="31" t="s">
        <v>27</v>
      </c>
      <c r="I13" s="32"/>
    </row>
    <row r="14">
      <c r="B14" s="29" t="s">
        <v>28</v>
      </c>
      <c r="C14" s="30">
        <v>29.0</v>
      </c>
      <c r="D14" s="30">
        <v>30.0</v>
      </c>
      <c r="E14" s="30">
        <v>29.0</v>
      </c>
      <c r="F14" s="30">
        <v>30.0</v>
      </c>
      <c r="G14" s="31" t="s">
        <v>27</v>
      </c>
    </row>
    <row r="15">
      <c r="B15" s="29" t="s">
        <v>29</v>
      </c>
      <c r="C15" s="31" t="s">
        <v>27</v>
      </c>
      <c r="D15" s="31" t="s">
        <v>27</v>
      </c>
      <c r="E15" s="31" t="s">
        <v>27</v>
      </c>
      <c r="F15" s="31" t="s">
        <v>27</v>
      </c>
      <c r="G15" s="30">
        <v>122.0</v>
      </c>
    </row>
    <row r="16">
      <c r="B16" s="29" t="s">
        <v>30</v>
      </c>
      <c r="C16" s="31" t="s">
        <v>27</v>
      </c>
      <c r="D16" s="31" t="s">
        <v>27</v>
      </c>
      <c r="E16" s="31" t="s">
        <v>27</v>
      </c>
      <c r="F16" s="31" t="s">
        <v>27</v>
      </c>
      <c r="G16" s="30">
        <v>105.0</v>
      </c>
    </row>
    <row r="17">
      <c r="B17" s="29" t="s">
        <v>31</v>
      </c>
      <c r="C17" s="31" t="s">
        <v>27</v>
      </c>
      <c r="D17" s="31" t="s">
        <v>27</v>
      </c>
      <c r="E17" s="31" t="s">
        <v>27</v>
      </c>
      <c r="F17" s="31" t="s">
        <v>27</v>
      </c>
      <c r="G17" s="30">
        <v>101.6</v>
      </c>
      <c r="J17" s="33"/>
    </row>
    <row r="18">
      <c r="B18" s="29" t="s">
        <v>32</v>
      </c>
      <c r="C18" s="31" t="s">
        <v>27</v>
      </c>
      <c r="D18" s="31" t="s">
        <v>27</v>
      </c>
      <c r="E18" s="31" t="s">
        <v>27</v>
      </c>
      <c r="F18" s="31" t="s">
        <v>27</v>
      </c>
      <c r="G18" s="31" t="s">
        <v>27</v>
      </c>
      <c r="J18" s="13" t="s">
        <v>33</v>
      </c>
      <c r="K18" s="13" t="s">
        <v>34</v>
      </c>
      <c r="L18" s="34" t="s">
        <v>35</v>
      </c>
    </row>
    <row r="19">
      <c r="B19" s="29" t="s">
        <v>36</v>
      </c>
      <c r="C19" s="31" t="s">
        <v>27</v>
      </c>
      <c r="D19" s="31" t="s">
        <v>27</v>
      </c>
      <c r="E19" s="31" t="s">
        <v>27</v>
      </c>
      <c r="F19" s="31" t="s">
        <v>27</v>
      </c>
      <c r="G19" s="30">
        <v>108.5</v>
      </c>
      <c r="J19" s="35">
        <f>IF(OR(E5&lt;=0, F5&lt;=0), "", E5 / (F5 * F5))*10000
</f>
        <v>28.23724008</v>
      </c>
      <c r="K19" s="36">
        <f>66+(13.8*E5)+(5*F5)-(6.8*D5)</f>
        <v>2142.08</v>
      </c>
      <c r="L19" s="37"/>
    </row>
    <row r="20">
      <c r="B20" s="29" t="s">
        <v>37</v>
      </c>
      <c r="C20" s="38">
        <v>63.0</v>
      </c>
      <c r="D20" s="31"/>
      <c r="E20" s="30">
        <v>62.0</v>
      </c>
      <c r="F20" s="31" t="s">
        <v>27</v>
      </c>
      <c r="G20" s="31" t="s">
        <v>27</v>
      </c>
    </row>
    <row r="21">
      <c r="B21" s="29" t="s">
        <v>38</v>
      </c>
      <c r="C21" s="31" t="s">
        <v>27</v>
      </c>
      <c r="D21" s="31" t="s">
        <v>27</v>
      </c>
      <c r="E21" s="31" t="s">
        <v>27</v>
      </c>
      <c r="F21" s="31" t="s">
        <v>27</v>
      </c>
      <c r="G21" s="31" t="s">
        <v>27</v>
      </c>
    </row>
    <row r="22">
      <c r="B22" s="29" t="s">
        <v>39</v>
      </c>
      <c r="C22" s="31" t="s">
        <v>27</v>
      </c>
      <c r="D22" s="31" t="s">
        <v>27</v>
      </c>
      <c r="E22" s="31" t="s">
        <v>27</v>
      </c>
      <c r="F22" s="31" t="s">
        <v>27</v>
      </c>
      <c r="G22" s="31" t="s">
        <v>27</v>
      </c>
    </row>
    <row r="23">
      <c r="B23" s="29" t="s">
        <v>40</v>
      </c>
      <c r="C23" s="30">
        <v>40.0</v>
      </c>
      <c r="D23" s="31">
        <v>40.0</v>
      </c>
      <c r="E23" s="30">
        <v>40.5</v>
      </c>
      <c r="F23" s="31">
        <v>40.6</v>
      </c>
      <c r="G23" s="31" t="s">
        <v>27</v>
      </c>
    </row>
  </sheetData>
  <mergeCells count="5">
    <mergeCell ref="B9:G10"/>
    <mergeCell ref="B11:B12"/>
    <mergeCell ref="C11:D11"/>
    <mergeCell ref="E11:F11"/>
    <mergeCell ref="G11:G12"/>
  </mergeCells>
  <dataValidations>
    <dataValidation type="list" allowBlank="1" showErrorMessage="1" sqref="C5">
      <formula1>"Masculino,Feminino"</formula1>
    </dataValidation>
    <dataValidation type="list" allowBlank="1" showErrorMessage="1" sqref="H5">
      <formula1>"Ectomofo,Mesormofo,Endomorfo"</formula1>
    </dataValidation>
  </dataValidations>
  <hyperlinks>
    <hyperlink r:id="rId1" ref="L1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9" width="18.75"/>
    <col customWidth="1" min="11" max="11" width="13.5"/>
    <col customWidth="1" min="12" max="12" width="21.13"/>
  </cols>
  <sheetData>
    <row r="1">
      <c r="B1" s="39" t="s">
        <v>41</v>
      </c>
      <c r="I1" s="13" t="s">
        <v>9</v>
      </c>
    </row>
    <row r="2">
      <c r="I2" s="14">
        <v>45127.0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42</v>
      </c>
      <c r="G5" s="15" t="s">
        <v>15</v>
      </c>
      <c r="H5" s="15" t="s">
        <v>16</v>
      </c>
    </row>
    <row r="6">
      <c r="B6" s="17" t="s">
        <v>17</v>
      </c>
      <c r="C6" s="18" t="s">
        <v>18</v>
      </c>
      <c r="D6" s="19">
        <f>ROUNDDOWN((TODAY() - G6) / 365, 0)
</f>
        <v>24</v>
      </c>
      <c r="E6" s="20">
        <v>94.7</v>
      </c>
      <c r="F6" s="20">
        <f>'13062023'!F5</f>
        <v>184</v>
      </c>
      <c r="G6" s="21">
        <v>37160.0</v>
      </c>
      <c r="H6" s="22" t="s">
        <v>19</v>
      </c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30"/>
      <c r="D13" s="30"/>
      <c r="E13" s="41"/>
      <c r="F13" s="41"/>
      <c r="G13" s="41"/>
    </row>
    <row r="14">
      <c r="B14" s="29" t="s">
        <v>28</v>
      </c>
      <c r="C14" s="30"/>
      <c r="D14" s="41"/>
      <c r="E14" s="41"/>
      <c r="F14" s="41"/>
      <c r="G14" s="41"/>
    </row>
    <row r="15">
      <c r="B15" s="29" t="s">
        <v>29</v>
      </c>
      <c r="C15" s="31" t="s">
        <v>27</v>
      </c>
      <c r="D15" s="31" t="s">
        <v>27</v>
      </c>
      <c r="E15" s="31" t="s">
        <v>27</v>
      </c>
      <c r="F15" s="31" t="s">
        <v>27</v>
      </c>
      <c r="G15" s="30"/>
    </row>
    <row r="16">
      <c r="B16" s="29" t="s">
        <v>30</v>
      </c>
      <c r="C16" s="31" t="s">
        <v>27</v>
      </c>
      <c r="D16" s="31" t="s">
        <v>27</v>
      </c>
      <c r="E16" s="31" t="s">
        <v>27</v>
      </c>
      <c r="F16" s="31" t="s">
        <v>27</v>
      </c>
      <c r="G16" s="30">
        <v>105.5</v>
      </c>
    </row>
    <row r="17">
      <c r="B17" s="29" t="s">
        <v>31</v>
      </c>
      <c r="C17" s="31" t="s">
        <v>27</v>
      </c>
      <c r="D17" s="31" t="s">
        <v>27</v>
      </c>
      <c r="E17" s="31" t="s">
        <v>27</v>
      </c>
      <c r="F17" s="31" t="s">
        <v>27</v>
      </c>
      <c r="G17" s="30"/>
    </row>
    <row r="18">
      <c r="B18" s="29" t="s">
        <v>32</v>
      </c>
      <c r="C18" s="31" t="s">
        <v>27</v>
      </c>
      <c r="D18" s="31" t="s">
        <v>27</v>
      </c>
      <c r="E18" s="31" t="s">
        <v>27</v>
      </c>
      <c r="F18" s="31" t="s">
        <v>27</v>
      </c>
      <c r="G18" s="30">
        <v>99.9</v>
      </c>
    </row>
    <row r="19">
      <c r="B19" s="29" t="s">
        <v>36</v>
      </c>
      <c r="C19" s="31" t="s">
        <v>27</v>
      </c>
      <c r="D19" s="31" t="s">
        <v>27</v>
      </c>
      <c r="E19" s="31" t="s">
        <v>27</v>
      </c>
      <c r="F19" s="31" t="s">
        <v>27</v>
      </c>
      <c r="G19" s="30">
        <v>107.0</v>
      </c>
    </row>
    <row r="20">
      <c r="B20" s="29" t="s">
        <v>37</v>
      </c>
      <c r="C20" s="30">
        <v>66.5</v>
      </c>
      <c r="D20" s="30">
        <v>67.5</v>
      </c>
      <c r="E20" s="30">
        <v>66.5</v>
      </c>
      <c r="F20" s="30">
        <v>66.9</v>
      </c>
      <c r="G20" s="41"/>
    </row>
    <row r="21">
      <c r="B21" s="29" t="s">
        <v>38</v>
      </c>
      <c r="C21" s="30">
        <v>63.5</v>
      </c>
      <c r="D21" s="30">
        <v>63.5</v>
      </c>
      <c r="E21" s="30">
        <v>63.4</v>
      </c>
      <c r="F21" s="41">
        <f>E21</f>
        <v>63.4</v>
      </c>
      <c r="G21" s="41"/>
    </row>
    <row r="22">
      <c r="B22" s="29" t="s">
        <v>39</v>
      </c>
      <c r="C22" s="30">
        <v>48.0</v>
      </c>
      <c r="D22" s="30">
        <v>48.0</v>
      </c>
      <c r="E22" s="30">
        <v>48.0</v>
      </c>
      <c r="F22" s="30">
        <v>48.0</v>
      </c>
      <c r="G22" s="41"/>
    </row>
    <row r="23">
      <c r="B23" s="29" t="s">
        <v>40</v>
      </c>
      <c r="C23" s="30">
        <v>40.6</v>
      </c>
      <c r="D23" s="30">
        <v>40.6</v>
      </c>
      <c r="E23" s="30">
        <v>40.7</v>
      </c>
      <c r="F23" s="30">
        <v>40.7</v>
      </c>
      <c r="G23" s="41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7">
      <c r="B27" s="43" t="s">
        <v>43</v>
      </c>
    </row>
    <row r="29">
      <c r="L29" s="37"/>
    </row>
    <row r="31">
      <c r="B31" s="44" t="s">
        <v>44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  <c r="L33" s="34" t="s">
        <v>45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</row>
    <row r="35">
      <c r="B35" s="50" t="s">
        <v>26</v>
      </c>
      <c r="C35" s="51" t="str">
        <f>IF(C13&lt;&gt;"", C13-'13062023'!C13, "")
</f>
        <v/>
      </c>
      <c r="D35" s="51" t="str">
        <f>IF(D13&lt;&gt;"", D13-'13062023'!D13, "")
</f>
        <v/>
      </c>
      <c r="E35" s="51" t="str">
        <f>IF(E13&lt;&gt;"", E13-'13062023'!E13, "")
</f>
        <v/>
      </c>
      <c r="F35" s="51" t="str">
        <f>IF(F13&lt;&gt;"", F13-'13062023'!F13, "")
</f>
        <v/>
      </c>
      <c r="G35" s="51" t="str">
        <f>IF(G13&lt;&gt;"", G13-'13062023'!G13, "")
</f>
        <v/>
      </c>
      <c r="I35" s="49"/>
      <c r="J35" s="49"/>
      <c r="K35" s="49"/>
      <c r="L35" s="49"/>
    </row>
    <row r="36">
      <c r="B36" s="50" t="s">
        <v>28</v>
      </c>
      <c r="C36" s="51" t="str">
        <f>IF(C14&lt;&gt;"", C14-'13062023'!C14, "")
</f>
        <v/>
      </c>
      <c r="D36" s="51" t="str">
        <f>IF(D14&lt;&gt;"", D14-'13062023'!D14, "")
</f>
        <v/>
      </c>
      <c r="E36" s="51" t="str">
        <f>IF(E14&lt;&gt;"", E14-'13062023'!E14, "")
</f>
        <v/>
      </c>
      <c r="F36" s="51" t="str">
        <f>IF(F14&lt;&gt;"", F14-'13062023'!F14, "")
</f>
        <v/>
      </c>
      <c r="G36" s="51" t="str">
        <f>IF(G14&lt;&gt;"", G14-'13062023'!G14, "")
</f>
        <v/>
      </c>
      <c r="I36" s="13" t="s">
        <v>33</v>
      </c>
      <c r="J36" s="35">
        <f>IF(OR(E6&lt;=0, F6&lt;=0), "", E6 / (F6 * F6))*10000
</f>
        <v>27.97140832</v>
      </c>
      <c r="K36" s="49"/>
      <c r="L36" s="49"/>
    </row>
    <row r="37">
      <c r="B37" s="50" t="s">
        <v>29</v>
      </c>
      <c r="C37" s="51" t="str">
        <f>IF(C15&lt;&gt;"", C15-'13062023'!C15, "")
</f>
        <v>#VALUE!</v>
      </c>
      <c r="D37" s="51" t="str">
        <f>IF(D15&lt;&gt;"", D15-'13062023'!D15, "")
</f>
        <v>#VALUE!</v>
      </c>
      <c r="E37" s="51" t="str">
        <f>IF(E15&lt;&gt;"", E15-'13062023'!E15, "")
</f>
        <v>#VALUE!</v>
      </c>
      <c r="F37" s="51" t="str">
        <f>IF(F15&lt;&gt;"", F15-'13062023'!F15, "")
</f>
        <v>#VALUE!</v>
      </c>
      <c r="G37" s="51" t="str">
        <f>IF(G15&lt;&gt;"", G15-'13062023'!G15, "")
</f>
        <v/>
      </c>
      <c r="I37" s="13" t="s">
        <v>34</v>
      </c>
      <c r="J37" s="36">
        <f>66+(13.8*E6)+(5*F6)-(6.8*D6)</f>
        <v>2129.66</v>
      </c>
      <c r="K37" s="49"/>
      <c r="L37" s="49"/>
    </row>
    <row r="38">
      <c r="B38" s="50" t="s">
        <v>30</v>
      </c>
      <c r="C38" s="51" t="str">
        <f>IF(C16&lt;&gt;"", C16-'13062023'!C16, "")
</f>
        <v>#VALUE!</v>
      </c>
      <c r="D38" s="51" t="str">
        <f>IF(D16&lt;&gt;"", D16-'13062023'!D16, "")
</f>
        <v>#VALUE!</v>
      </c>
      <c r="E38" s="51" t="str">
        <f>IF(E16&lt;&gt;"", E16-'13062023'!E16, "")
</f>
        <v>#VALUE!</v>
      </c>
      <c r="F38" s="51" t="str">
        <f>IF(F16&lt;&gt;"", F16-'13062023'!F16, "")
</f>
        <v>#VALUE!</v>
      </c>
      <c r="G38" s="51">
        <f>IF(G16&lt;&gt;"", G16-'13062023'!G16, "")
</f>
        <v>0.5</v>
      </c>
      <c r="I38" s="13" t="s">
        <v>48</v>
      </c>
      <c r="J38" s="36">
        <f>J37*DADOS!B11</f>
        <v>2555.592</v>
      </c>
      <c r="K38" s="49"/>
      <c r="L38" s="49"/>
    </row>
    <row r="39">
      <c r="B39" s="50" t="s">
        <v>31</v>
      </c>
      <c r="C39" s="51" t="str">
        <f>IF(C17&lt;&gt;"", C17-'13062023'!C17, "")
</f>
        <v>#VALUE!</v>
      </c>
      <c r="D39" s="51" t="str">
        <f>IF(D17&lt;&gt;"", D17-'13062023'!D17, "")
</f>
        <v>#VALUE!</v>
      </c>
      <c r="E39" s="51" t="str">
        <f>IF(E17&lt;&gt;"", E17-'13062023'!E17, "")
</f>
        <v>#VALUE!</v>
      </c>
      <c r="F39" s="51" t="str">
        <f>IF(F17&lt;&gt;"", F17-'13062023'!F17, "")
</f>
        <v>#VALUE!</v>
      </c>
      <c r="G39" s="51" t="str">
        <f>IF(G17&lt;&gt;"", G17-'13062023'!G17, "")
</f>
        <v/>
      </c>
      <c r="I39" s="13" t="s">
        <v>49</v>
      </c>
      <c r="J39" s="36">
        <f>J37*DADOS!B11+DADOS!B4</f>
        <v>2743.092</v>
      </c>
      <c r="K39" s="49"/>
      <c r="L39" s="49"/>
    </row>
    <row r="40">
      <c r="B40" s="50" t="s">
        <v>32</v>
      </c>
      <c r="C40" s="51" t="str">
        <f>IF(C18&lt;&gt;"", C18-'13062023'!C18, "")
</f>
        <v>#VALUE!</v>
      </c>
      <c r="D40" s="51" t="str">
        <f>IF(D18&lt;&gt;"", D18-'13062023'!D18, "")
</f>
        <v>#VALUE!</v>
      </c>
      <c r="E40" s="51" t="str">
        <f>IF(E18&lt;&gt;"", E18-'13062023'!E18, "")
</f>
        <v>#VALUE!</v>
      </c>
      <c r="F40" s="51" t="str">
        <f>IF(F18&lt;&gt;"", F18-'13062023'!F18, "")
</f>
        <v>#VALUE!</v>
      </c>
      <c r="G40" s="51" t="str">
        <f>IF(G18&lt;&gt;"", G18-'13062023'!G18, "")
</f>
        <v>#VALUE!</v>
      </c>
    </row>
    <row r="41">
      <c r="B41" s="50" t="s">
        <v>36</v>
      </c>
      <c r="C41" s="51" t="str">
        <f>IF(C19&lt;&gt;"", C19-'13062023'!C19, "")
</f>
        <v>#VALUE!</v>
      </c>
      <c r="D41" s="51" t="str">
        <f>IF(D19&lt;&gt;"", D19-'13062023'!D19, "")
</f>
        <v>#VALUE!</v>
      </c>
      <c r="E41" s="51" t="str">
        <f>IF(E19&lt;&gt;"", E19-'13062023'!E19, "")
</f>
        <v>#VALUE!</v>
      </c>
      <c r="F41" s="51" t="str">
        <f>IF(F19&lt;&gt;"", F19-'13062023'!F19, "")
</f>
        <v>#VALUE!</v>
      </c>
      <c r="G41" s="51">
        <f>IF(G19&lt;&gt;"", G19-'13062023'!G19, "")
</f>
        <v>-1.5</v>
      </c>
    </row>
    <row r="42">
      <c r="B42" s="50" t="s">
        <v>37</v>
      </c>
      <c r="C42" s="51">
        <f>IF(C20&lt;&gt;"", C20-'13062023'!E20, "")
</f>
        <v>4.5</v>
      </c>
      <c r="D42" s="51">
        <f>IF(D20&lt;&gt;"", D20-'13062023'!D20, "")
</f>
        <v>67.5</v>
      </c>
      <c r="E42" s="51" t="str">
        <f>IF(E20&lt;&gt;"", E20-#REF!, "")
</f>
        <v>#REF!</v>
      </c>
      <c r="F42" s="51" t="str">
        <f>IF(F20&lt;&gt;"", F20-'13062023'!F20, "")
</f>
        <v>#VALUE!</v>
      </c>
      <c r="G42" s="51" t="str">
        <f>IF(G20&lt;&gt;"", G20-'13062023'!G20, "")
</f>
        <v/>
      </c>
    </row>
    <row r="43">
      <c r="B43" s="50" t="s">
        <v>38</v>
      </c>
      <c r="C43" s="51" t="str">
        <f>IF(C21&lt;&gt;"", C21-'13062023'!C21, "")
</f>
        <v>#VALUE!</v>
      </c>
      <c r="D43" s="51" t="str">
        <f>IF(D21&lt;&gt;"", D21-'13062023'!D21, "")
</f>
        <v>#VALUE!</v>
      </c>
      <c r="E43" s="51" t="str">
        <f>IF(E21&lt;&gt;"", E21-'13062023'!E21, "")
</f>
        <v>#VALUE!</v>
      </c>
      <c r="F43" s="51" t="str">
        <f>IF(F21&lt;&gt;"", F21-'13062023'!F21, "")
</f>
        <v>#VALUE!</v>
      </c>
      <c r="G43" s="51" t="str">
        <f>IF(G21&lt;&gt;"", G21-'13062023'!G21, "")
</f>
        <v/>
      </c>
    </row>
    <row r="44">
      <c r="B44" s="50" t="s">
        <v>39</v>
      </c>
      <c r="C44" s="51" t="str">
        <f>IF(C22&lt;&gt;"", C22-'13062023'!C22, "")
</f>
        <v>#VALUE!</v>
      </c>
      <c r="D44" s="51" t="str">
        <f>IF(D22&lt;&gt;"", D22-'13062023'!D22, "")
</f>
        <v>#VALUE!</v>
      </c>
      <c r="E44" s="51" t="str">
        <f>IF(E22&lt;&gt;"", E22-'13062023'!E22, "")
</f>
        <v>#VALUE!</v>
      </c>
      <c r="F44" s="51" t="str">
        <f>IF(F22&lt;&gt;"", F22-'13062023'!F22, "")
</f>
        <v>#VALUE!</v>
      </c>
      <c r="G44" s="51" t="str">
        <f>IF(G22&lt;&gt;"", G22-'13062023'!G22, "")
</f>
        <v/>
      </c>
    </row>
    <row r="45">
      <c r="B45" s="50" t="s">
        <v>40</v>
      </c>
      <c r="C45" s="51">
        <f>IF(C23&lt;&gt;"", C23-'13062023'!C23, "")
</f>
        <v>0.6</v>
      </c>
      <c r="D45" s="51">
        <f>IF(D23&lt;&gt;"", D23-'13062023'!D23, "")
</f>
        <v>0.6</v>
      </c>
      <c r="E45" s="51">
        <f>IF(E23&lt;&gt;"", E23-'13062023'!E23, "")
</f>
        <v>0.2</v>
      </c>
      <c r="F45" s="51">
        <f>IF(F23&lt;&gt;"", F23-'13062023'!F23, "")
</f>
        <v>0.1</v>
      </c>
      <c r="G45" s="51" t="str">
        <f>IF(G23&lt;&gt;"", G23-'13062023'!G23, "")
</f>
        <v/>
      </c>
    </row>
    <row r="46">
      <c r="B46" s="50" t="s">
        <v>14</v>
      </c>
      <c r="C46" s="52">
        <f>IF(F6&lt;&gt;"", F6-'13062023'!F5, "")
</f>
        <v>0</v>
      </c>
    </row>
    <row r="47">
      <c r="B47" s="50" t="s">
        <v>13</v>
      </c>
      <c r="C47" s="52">
        <f>IF(E6&lt;&gt;"", E6-'13062023'!E5, "")
</f>
        <v>-0.9</v>
      </c>
    </row>
    <row r="49">
      <c r="D49" s="38"/>
      <c r="E49" s="38"/>
      <c r="F49" s="38"/>
    </row>
    <row r="50">
      <c r="D50" s="38"/>
      <c r="E50" s="38"/>
      <c r="F50" s="38"/>
    </row>
  </sheetData>
  <mergeCells count="12">
    <mergeCell ref="B31:G32"/>
    <mergeCell ref="B33:B34"/>
    <mergeCell ref="C33:D33"/>
    <mergeCell ref="E33:F33"/>
    <mergeCell ref="G33:G34"/>
    <mergeCell ref="B1:G2"/>
    <mergeCell ref="B9:G10"/>
    <mergeCell ref="B11:B12"/>
    <mergeCell ref="C11:D11"/>
    <mergeCell ref="E11:F11"/>
    <mergeCell ref="G11:G12"/>
    <mergeCell ref="B27:G28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3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13"/>
    <col customWidth="1" min="9" max="9" width="18.75"/>
    <col customWidth="1" min="11" max="11" width="13.75"/>
    <col customWidth="1" min="12" max="12" width="9.38"/>
  </cols>
  <sheetData>
    <row r="1">
      <c r="B1" s="39" t="s">
        <v>41</v>
      </c>
      <c r="I1" s="13" t="s">
        <v>9</v>
      </c>
    </row>
    <row r="2">
      <c r="I2" s="14">
        <v>44927.0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17</v>
      </c>
      <c r="C6" s="18" t="s">
        <v>18</v>
      </c>
      <c r="D6" s="19">
        <f>ROUNDDOWN((TODAY() - G6) / 365, 0)
</f>
        <v>24</v>
      </c>
      <c r="E6" s="20"/>
      <c r="F6" s="20"/>
      <c r="G6" s="21">
        <v>37160.0</v>
      </c>
      <c r="H6" s="22" t="s">
        <v>19</v>
      </c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30">
        <v>32.0</v>
      </c>
      <c r="D13" s="30">
        <v>37.5</v>
      </c>
      <c r="E13" s="30">
        <v>32.0</v>
      </c>
      <c r="F13" s="30">
        <v>37.0</v>
      </c>
      <c r="G13" s="31"/>
    </row>
    <row r="14">
      <c r="B14" s="29" t="s">
        <v>28</v>
      </c>
      <c r="C14" s="30">
        <v>29.0</v>
      </c>
      <c r="D14" s="30">
        <v>30.0</v>
      </c>
      <c r="E14" s="30">
        <v>29.0</v>
      </c>
      <c r="F14" s="30">
        <v>30.0</v>
      </c>
      <c r="G14" s="31"/>
    </row>
    <row r="15">
      <c r="B15" s="29" t="s">
        <v>29</v>
      </c>
      <c r="C15" s="31"/>
      <c r="D15" s="31"/>
      <c r="E15" s="31"/>
      <c r="F15" s="31"/>
      <c r="G15" s="30">
        <v>122.0</v>
      </c>
    </row>
    <row r="16">
      <c r="B16" s="29" t="s">
        <v>30</v>
      </c>
      <c r="C16" s="31"/>
      <c r="D16" s="31"/>
      <c r="E16" s="31"/>
      <c r="F16" s="31"/>
      <c r="G16" s="30">
        <v>105.0</v>
      </c>
    </row>
    <row r="17">
      <c r="B17" s="29" t="s">
        <v>31</v>
      </c>
      <c r="C17" s="31"/>
      <c r="D17" s="31"/>
      <c r="E17" s="31"/>
      <c r="F17" s="31"/>
      <c r="G17" s="30">
        <v>101.6</v>
      </c>
    </row>
    <row r="18">
      <c r="B18" s="29" t="s">
        <v>32</v>
      </c>
      <c r="C18" s="31"/>
      <c r="D18" s="31"/>
      <c r="E18" s="31"/>
      <c r="F18" s="31"/>
      <c r="G18" s="31"/>
    </row>
    <row r="19">
      <c r="B19" s="29" t="s">
        <v>36</v>
      </c>
      <c r="C19" s="31"/>
      <c r="D19" s="31"/>
      <c r="E19" s="31"/>
      <c r="F19" s="31"/>
      <c r="G19" s="30">
        <v>108.5</v>
      </c>
    </row>
    <row r="20">
      <c r="B20" s="29" t="s">
        <v>37</v>
      </c>
      <c r="C20" s="38">
        <v>63.0</v>
      </c>
      <c r="D20" s="31"/>
      <c r="E20" s="30">
        <v>62.0</v>
      </c>
      <c r="F20" s="31"/>
      <c r="G20" s="31"/>
    </row>
    <row r="21">
      <c r="B21" s="29" t="s">
        <v>38</v>
      </c>
      <c r="C21" s="31"/>
      <c r="D21" s="31"/>
      <c r="E21" s="31"/>
      <c r="F21" s="31"/>
      <c r="G21" s="31"/>
    </row>
    <row r="22">
      <c r="B22" s="29" t="s">
        <v>39</v>
      </c>
      <c r="C22" s="31"/>
      <c r="D22" s="31"/>
      <c r="E22" s="31"/>
      <c r="F22" s="31"/>
      <c r="G22" s="31"/>
    </row>
    <row r="23">
      <c r="B23" s="29" t="s">
        <v>40</v>
      </c>
      <c r="C23" s="30">
        <v>40.0</v>
      </c>
      <c r="D23" s="31">
        <v>40.0</v>
      </c>
      <c r="E23" s="30">
        <v>40.5</v>
      </c>
      <c r="F23" s="31">
        <v>40.6</v>
      </c>
      <c r="G23" s="31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0</v>
      </c>
      <c r="K28" s="36">
        <f>66+(13.8*E6)+(5*F6)-(6.8*D6)</f>
        <v>-97.2</v>
      </c>
      <c r="L28" s="37"/>
    </row>
    <row r="31">
      <c r="B31" s="44" t="s">
        <v>50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>
        <f>IF(C13&lt;&gt;"", C13-'20072023'!C13, "")
</f>
        <v>32</v>
      </c>
      <c r="D35" s="51">
        <f>IF(D13&lt;&gt;"", D13-'20072023'!D13, "")
</f>
        <v>37.5</v>
      </c>
      <c r="E35" s="51">
        <f>IF(E13&lt;&gt;"", E13-'20072023'!E13, "")
</f>
        <v>32</v>
      </c>
      <c r="F35" s="51">
        <f>IF(F13&lt;&gt;"", F13-'20072023'!F13, "")
</f>
        <v>37</v>
      </c>
      <c r="G35" s="51" t="str">
        <f>IF(G13&lt;&gt;"", G13-'20072023'!G13, "")
</f>
        <v/>
      </c>
      <c r="I35" s="49"/>
      <c r="J35" s="49"/>
      <c r="K35" s="49"/>
      <c r="L35" s="49"/>
    </row>
    <row r="36">
      <c r="B36" s="50" t="s">
        <v>28</v>
      </c>
      <c r="C36" s="51">
        <f>IF(C14&lt;&gt;"", C14-'20072023'!C14, "")
</f>
        <v>29</v>
      </c>
      <c r="D36" s="51">
        <f>IF(D14&lt;&gt;"", D14-'20072023'!D14, "")
</f>
        <v>30</v>
      </c>
      <c r="E36" s="51">
        <f>IF(E14&lt;&gt;"", E14-'20072023'!E14, "")
</f>
        <v>29</v>
      </c>
      <c r="F36" s="51">
        <f>IF(F14&lt;&gt;"", F14-'20072023'!F14, "")
</f>
        <v>30</v>
      </c>
      <c r="G36" s="51" t="str">
        <f>IF(G14&lt;&gt;"", G14-'20072023'!G14, "")
</f>
        <v/>
      </c>
      <c r="I36" s="49"/>
      <c r="J36" s="49"/>
      <c r="K36" s="49"/>
      <c r="L36" s="49"/>
    </row>
    <row r="37">
      <c r="B37" s="50" t="s">
        <v>29</v>
      </c>
      <c r="C37" s="51" t="str">
        <f>IF(C15&lt;&gt;"", C15-'20072023'!C15, "")
</f>
        <v/>
      </c>
      <c r="D37" s="51" t="str">
        <f>IF(D15&lt;&gt;"", D15-'20072023'!D15, "")
</f>
        <v/>
      </c>
      <c r="E37" s="51" t="str">
        <f>IF(E15&lt;&gt;"", E15-'20072023'!E15, "")
</f>
        <v/>
      </c>
      <c r="F37" s="51" t="str">
        <f>IF(F15&lt;&gt;"", F15-'20072023'!F15, "")
</f>
        <v/>
      </c>
      <c r="G37" s="51">
        <f>IF(G15&lt;&gt;"", G15-'20072023'!G15, "")
</f>
        <v>122</v>
      </c>
    </row>
    <row r="38">
      <c r="B38" s="50" t="s">
        <v>30</v>
      </c>
      <c r="C38" s="51" t="str">
        <f>IF(C16&lt;&gt;"", C16-'20072023'!C16, "")
</f>
        <v/>
      </c>
      <c r="D38" s="51" t="str">
        <f>IF(D16&lt;&gt;"", D16-'20072023'!D16, "")
</f>
        <v/>
      </c>
      <c r="E38" s="51" t="str">
        <f>IF(E16&lt;&gt;"", E16-'20072023'!E16, "")
</f>
        <v/>
      </c>
      <c r="F38" s="51" t="str">
        <f>IF(F16&lt;&gt;"", F16-'20072023'!F16, "")
</f>
        <v/>
      </c>
      <c r="G38" s="51">
        <f>IF(G16&lt;&gt;"", G16-'20072023'!G16, "")
</f>
        <v>-0.5</v>
      </c>
    </row>
    <row r="39">
      <c r="B39" s="50" t="s">
        <v>31</v>
      </c>
      <c r="C39" s="51" t="str">
        <f>IF(C17&lt;&gt;"", C17-'20072023'!C17, "")
</f>
        <v/>
      </c>
      <c r="D39" s="51" t="str">
        <f>IF(D17&lt;&gt;"", D17-'20072023'!D17, "")
</f>
        <v/>
      </c>
      <c r="E39" s="51" t="str">
        <f>IF(E17&lt;&gt;"", E17-'20072023'!E17, "")
</f>
        <v/>
      </c>
      <c r="F39" s="51" t="str">
        <f>IF(F17&lt;&gt;"", F17-'20072023'!F17, "")
</f>
        <v/>
      </c>
      <c r="G39" s="51">
        <f>IF(G17&lt;&gt;"", G17-'20072023'!G17, "")
</f>
        <v>101.6</v>
      </c>
    </row>
    <row r="40">
      <c r="B40" s="50" t="s">
        <v>32</v>
      </c>
      <c r="C40" s="51" t="str">
        <f>IF(C18&lt;&gt;"", C18-'20072023'!C18, "")
</f>
        <v/>
      </c>
      <c r="D40" s="51" t="str">
        <f>IF(D18&lt;&gt;"", D18-'20072023'!D18, "")
</f>
        <v/>
      </c>
      <c r="E40" s="51" t="str">
        <f>IF(E18&lt;&gt;"", E18-'20072023'!E18, "")
</f>
        <v/>
      </c>
      <c r="F40" s="51" t="str">
        <f>IF(F18&lt;&gt;"", F18-'20072023'!F18, "")
</f>
        <v/>
      </c>
      <c r="G40" s="51" t="str">
        <f>IF(G18&lt;&gt;"", G18-'20072023'!G18, "")
</f>
        <v/>
      </c>
    </row>
    <row r="41">
      <c r="B41" s="50" t="s">
        <v>36</v>
      </c>
      <c r="C41" s="51" t="str">
        <f>IF(C19&lt;&gt;"", C19-'20072023'!C19, "")
</f>
        <v/>
      </c>
      <c r="D41" s="51" t="str">
        <f>IF(D19&lt;&gt;"", D19-'20072023'!D19, "")
</f>
        <v/>
      </c>
      <c r="E41" s="51" t="str">
        <f>IF(E19&lt;&gt;"", E19-'20072023'!E19, "")
</f>
        <v/>
      </c>
      <c r="F41" s="51" t="str">
        <f>IF(F19&lt;&gt;"", F19-'20072023'!F19, "")
</f>
        <v/>
      </c>
      <c r="G41" s="51">
        <f>IF(G19&lt;&gt;"", G19-'20072023'!G19, "")
</f>
        <v>1.5</v>
      </c>
    </row>
    <row r="42">
      <c r="B42" s="50" t="s">
        <v>37</v>
      </c>
      <c r="C42" s="51">
        <f>IF(C20&lt;&gt;"", C20-'20072023'!C20, "")
</f>
        <v>-3.5</v>
      </c>
      <c r="D42" s="51" t="str">
        <f>IF(D20&lt;&gt;"", D20-'20072023'!D20, "")
</f>
        <v/>
      </c>
      <c r="E42" s="51">
        <f>IF(E20&lt;&gt;"", E20-'20072023'!E20, "")
</f>
        <v>-4.5</v>
      </c>
      <c r="F42" s="51" t="str">
        <f>IF(F20&lt;&gt;"", F20-'20072023'!F20, "")
</f>
        <v/>
      </c>
      <c r="G42" s="51" t="str">
        <f>IF(G20&lt;&gt;"", G20-'20072023'!G20, "")
</f>
        <v/>
      </c>
    </row>
    <row r="43">
      <c r="B43" s="50" t="s">
        <v>38</v>
      </c>
      <c r="C43" s="51" t="str">
        <f>IF(C21&lt;&gt;"", C21-'20072023'!C21, "")
</f>
        <v/>
      </c>
      <c r="D43" s="51" t="str">
        <f>IF(D21&lt;&gt;"", D21-'20072023'!D21, "")
</f>
        <v/>
      </c>
      <c r="E43" s="51" t="str">
        <f>IF(E21&lt;&gt;"", E21-'20072023'!E21, "")
</f>
        <v/>
      </c>
      <c r="F43" s="51" t="str">
        <f>IF(F21&lt;&gt;"", F21-'20072023'!F21, "")
</f>
        <v/>
      </c>
      <c r="G43" s="51" t="str">
        <f>IF(G21&lt;&gt;"", G21-'20072023'!G21, "")
</f>
        <v/>
      </c>
    </row>
    <row r="44">
      <c r="B44" s="50" t="s">
        <v>39</v>
      </c>
      <c r="C44" s="51" t="str">
        <f>IF(C22&lt;&gt;"", C22-'20072023'!C22, "")
</f>
        <v/>
      </c>
      <c r="D44" s="51" t="str">
        <f>IF(D22&lt;&gt;"", D22-'20072023'!D22, "")
</f>
        <v/>
      </c>
      <c r="E44" s="51" t="str">
        <f>IF(E22&lt;&gt;"", E22-'20072023'!E22, "")
</f>
        <v/>
      </c>
      <c r="F44" s="51" t="str">
        <f>IF(F22&lt;&gt;"", F22-'20072023'!F22, "")
</f>
        <v/>
      </c>
      <c r="G44" s="51" t="str">
        <f>IF(G22&lt;&gt;"", G22-'20072023'!G22, "")
</f>
        <v/>
      </c>
    </row>
    <row r="45">
      <c r="B45" s="50" t="s">
        <v>40</v>
      </c>
      <c r="C45" s="51">
        <f>IF(C23&lt;&gt;"", C23-'20072023'!C23, "")
</f>
        <v>-0.6</v>
      </c>
      <c r="D45" s="51">
        <f>IF(D23&lt;&gt;"", D23-'20072023'!D23, "")
</f>
        <v>-0.6</v>
      </c>
      <c r="E45" s="51">
        <f>IF(E23&lt;&gt;"", E23-'20072023'!E23, "")
</f>
        <v>-0.2</v>
      </c>
      <c r="F45" s="51">
        <f>IF(F23&lt;&gt;"", F23-'20072023'!F23, "")
</f>
        <v>-0.1</v>
      </c>
      <c r="G45" s="51" t="str">
        <f>IF(G23&lt;&gt;"", G23-'20072023'!G23, "")
</f>
        <v/>
      </c>
    </row>
    <row r="46">
      <c r="B46" s="50" t="s">
        <v>14</v>
      </c>
      <c r="C46" s="52" t="str">
        <f>IF(F6&lt;&gt;"", F6-'20072023'!F6, "")
</f>
        <v/>
      </c>
    </row>
    <row r="47">
      <c r="B47" s="50" t="s">
        <v>13</v>
      </c>
      <c r="C47" s="52" t="str">
        <f>IF(E6&lt;&gt;"", E6-'20072023'!E6, "")
</f>
        <v/>
      </c>
    </row>
    <row r="49">
      <c r="D49" s="38"/>
      <c r="E49" s="38"/>
      <c r="F49" s="38"/>
    </row>
    <row r="50">
      <c r="D50" s="38"/>
      <c r="E50" s="38"/>
      <c r="F50" s="38"/>
    </row>
  </sheetData>
  <mergeCells count="12">
    <mergeCell ref="B31:G32"/>
    <mergeCell ref="B33:B34"/>
    <mergeCell ref="C33:D33"/>
    <mergeCell ref="E33:F33"/>
    <mergeCell ref="G33:G34"/>
    <mergeCell ref="B1:G2"/>
    <mergeCell ref="B9:G10"/>
    <mergeCell ref="B11:B12"/>
    <mergeCell ref="C11:D11"/>
    <mergeCell ref="E11:F11"/>
    <mergeCell ref="G11:G12"/>
    <mergeCell ref="B27:G28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45163.0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17</v>
      </c>
      <c r="C6" s="18" t="s">
        <v>18</v>
      </c>
      <c r="D6" s="19">
        <f>ROUNDDOWN((TODAY() - G6) / 365, 0)
</f>
        <v>24</v>
      </c>
      <c r="E6" s="54">
        <v>94.0</v>
      </c>
      <c r="F6" s="55">
        <v>184.0</v>
      </c>
      <c r="G6" s="21">
        <v>37160.0</v>
      </c>
      <c r="H6" s="22" t="s">
        <v>19</v>
      </c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>
        <v>34.0</v>
      </c>
      <c r="D13" s="56">
        <v>39.0</v>
      </c>
      <c r="E13" s="56">
        <v>34.0</v>
      </c>
      <c r="F13" s="56">
        <v>39.0</v>
      </c>
      <c r="G13" s="57"/>
    </row>
    <row r="14">
      <c r="B14" s="29" t="s">
        <v>28</v>
      </c>
      <c r="C14" s="56">
        <v>25.0</v>
      </c>
      <c r="D14" s="56">
        <v>25.0</v>
      </c>
      <c r="E14" s="56">
        <v>25.0</v>
      </c>
      <c r="F14" s="56">
        <v>25.0</v>
      </c>
      <c r="G14" s="57"/>
    </row>
    <row r="15">
      <c r="B15" s="29" t="s">
        <v>29</v>
      </c>
      <c r="C15" s="31" t="s">
        <v>27</v>
      </c>
      <c r="D15" s="31" t="s">
        <v>27</v>
      </c>
      <c r="E15" s="31" t="s">
        <v>27</v>
      </c>
      <c r="F15" s="31" t="s">
        <v>27</v>
      </c>
      <c r="G15" s="56">
        <v>122.0</v>
      </c>
    </row>
    <row r="16">
      <c r="B16" s="29" t="s">
        <v>30</v>
      </c>
      <c r="C16" s="31" t="s">
        <v>27</v>
      </c>
      <c r="D16" s="31" t="s">
        <v>27</v>
      </c>
      <c r="E16" s="31" t="s">
        <v>27</v>
      </c>
      <c r="F16" s="31" t="s">
        <v>27</v>
      </c>
      <c r="G16" s="56">
        <v>103.0</v>
      </c>
      <c r="M16" s="58"/>
    </row>
    <row r="17">
      <c r="B17" s="29" t="s">
        <v>31</v>
      </c>
      <c r="C17" s="31" t="s">
        <v>27</v>
      </c>
      <c r="D17" s="31" t="s">
        <v>27</v>
      </c>
      <c r="E17" s="31" t="s">
        <v>27</v>
      </c>
      <c r="F17" s="31" t="s">
        <v>27</v>
      </c>
      <c r="G17" s="56">
        <v>97.0</v>
      </c>
    </row>
    <row r="18">
      <c r="B18" s="29" t="s">
        <v>32</v>
      </c>
      <c r="C18" s="31" t="s">
        <v>27</v>
      </c>
      <c r="D18" s="31" t="s">
        <v>27</v>
      </c>
      <c r="E18" s="31" t="s">
        <v>27</v>
      </c>
      <c r="F18" s="31" t="s">
        <v>27</v>
      </c>
      <c r="G18" s="56">
        <v>97.0</v>
      </c>
    </row>
    <row r="19">
      <c r="B19" s="29" t="s">
        <v>36</v>
      </c>
      <c r="C19" s="31" t="s">
        <v>27</v>
      </c>
      <c r="D19" s="31" t="s">
        <v>27</v>
      </c>
      <c r="E19" s="31" t="s">
        <v>27</v>
      </c>
      <c r="F19" s="31" t="s">
        <v>27</v>
      </c>
      <c r="G19" s="56">
        <v>105.0</v>
      </c>
    </row>
    <row r="20">
      <c r="B20" s="29" t="s">
        <v>37</v>
      </c>
      <c r="C20" s="56">
        <v>65.0</v>
      </c>
      <c r="D20" s="56">
        <v>67.0</v>
      </c>
      <c r="E20" s="56">
        <v>66.0</v>
      </c>
      <c r="F20" s="56">
        <v>66.0</v>
      </c>
      <c r="G20" s="57"/>
    </row>
    <row r="21">
      <c r="B21" s="29" t="s">
        <v>38</v>
      </c>
      <c r="C21" s="56">
        <v>63.0</v>
      </c>
      <c r="D21" s="56">
        <v>63.0</v>
      </c>
      <c r="E21" s="56">
        <v>62.0</v>
      </c>
      <c r="F21" s="56">
        <v>62.0</v>
      </c>
      <c r="G21" s="57"/>
    </row>
    <row r="22">
      <c r="B22" s="29" t="s">
        <v>39</v>
      </c>
      <c r="C22" s="56">
        <v>48.0</v>
      </c>
      <c r="D22" s="56">
        <v>48.0</v>
      </c>
      <c r="E22" s="56">
        <v>47.0</v>
      </c>
      <c r="F22" s="56">
        <v>48.0</v>
      </c>
      <c r="G22" s="57"/>
    </row>
    <row r="23">
      <c r="B23" s="29" t="s">
        <v>40</v>
      </c>
      <c r="C23" s="56">
        <v>39.0</v>
      </c>
      <c r="D23" s="56">
        <v>39.0</v>
      </c>
      <c r="E23" s="56">
        <v>39.0</v>
      </c>
      <c r="F23" s="56">
        <v>39.0</v>
      </c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27.76465028</v>
      </c>
      <c r="K28" s="36">
        <f>66+(13.8*E6)+(5*F6)-(6.8*D6)</f>
        <v>2120</v>
      </c>
      <c r="L28" s="37"/>
    </row>
    <row r="31">
      <c r="B31" s="44" t="s">
        <v>51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>
        <f>IF(C13&lt;&gt;"", IF(ISNUMBER(C13), C13-'12082023'!C13, ""), "")
</f>
        <v>2</v>
      </c>
      <c r="D35" s="51">
        <f>IF(D13&lt;&gt;"", IF(ISNUMBER(D13), D13-'12082023'!D13, ""), "")
</f>
        <v>1.5</v>
      </c>
      <c r="E35" s="51">
        <f>IF(E13&lt;&gt;"", IF(ISNUMBER(E13), E13-'12082023'!E13, ""), "")
</f>
        <v>2</v>
      </c>
      <c r="F35" s="51">
        <f>IF(F13&lt;&gt;"", IF(ISNUMBER(F13), F13-'12082023'!F13, ""), "")
</f>
        <v>2</v>
      </c>
      <c r="G35" s="51" t="str">
        <f>IF(G13&lt;&gt;"", IF(ISNUMBER(G13), G13-'12082023'!G13, ""), "")
</f>
        <v/>
      </c>
      <c r="I35" s="49"/>
      <c r="J35" s="49"/>
      <c r="K35" s="49"/>
      <c r="L35" s="49"/>
    </row>
    <row r="36">
      <c r="B36" s="50" t="s">
        <v>28</v>
      </c>
      <c r="C36" s="51">
        <f>IF(C14&lt;&gt;"", IF(ISNUMBER(C14), C14-'12082023'!C14, ""), "")
</f>
        <v>-4</v>
      </c>
      <c r="D36" s="51">
        <f>IF(D14&lt;&gt;"", IF(ISNUMBER(D14), D14-'12082023'!D14, ""), "")
</f>
        <v>-5</v>
      </c>
      <c r="E36" s="51">
        <f>IF(E14&lt;&gt;"", IF(ISNUMBER(E14), E14-'12082023'!E14, ""), "")
</f>
        <v>-4</v>
      </c>
      <c r="F36" s="51">
        <f>IF(F14&lt;&gt;"", IF(ISNUMBER(F14), F14-'12082023'!F14, ""), "")
</f>
        <v>-5</v>
      </c>
      <c r="G36" s="51" t="str">
        <f>IF(G14&lt;&gt;"", IF(ISNUMBER(G14), G14-'12082023'!G14, ""), "")
</f>
        <v/>
      </c>
      <c r="I36" s="49"/>
      <c r="J36" s="49"/>
      <c r="K36" s="49"/>
      <c r="L36" s="49"/>
    </row>
    <row r="37">
      <c r="B37" s="50" t="s">
        <v>29</v>
      </c>
      <c r="C37" s="51" t="str">
        <f>IF(C15&lt;&gt;"", IF(ISNUMBER(C15), C15-'12082023'!C15, ""), "")
</f>
        <v/>
      </c>
      <c r="D37" s="51" t="str">
        <f>IF(D15&lt;&gt;"", IF(ISNUMBER(D15), D15-'12082023'!D15, ""), "")
</f>
        <v/>
      </c>
      <c r="E37" s="51" t="str">
        <f>IF(E15&lt;&gt;"", IF(ISNUMBER(E15), E15-'12082023'!E15, ""), "")
</f>
        <v/>
      </c>
      <c r="F37" s="51" t="str">
        <f>IF(F15&lt;&gt;"", IF(ISNUMBER(F15), F15-'12082023'!F15, ""), "")
</f>
        <v/>
      </c>
      <c r="G37" s="51">
        <f>IF(G15&lt;&gt;"", IF(ISNUMBER(G15), G15-'12082023'!G15, ""), "")
</f>
        <v>0</v>
      </c>
      <c r="I37" s="59"/>
      <c r="J37" s="59"/>
      <c r="K37" s="59"/>
      <c r="L37" s="59"/>
    </row>
    <row r="38">
      <c r="B38" s="50" t="s">
        <v>30</v>
      </c>
      <c r="C38" s="51" t="str">
        <f>IF(C16&lt;&gt;"", IF(ISNUMBER(C16), C16-'12082023'!C16, ""), "")
</f>
        <v/>
      </c>
      <c r="D38" s="51" t="str">
        <f>IF(D16&lt;&gt;"", IF(ISNUMBER(D16), D16-'12082023'!D16, ""), "")
</f>
        <v/>
      </c>
      <c r="E38" s="51" t="str">
        <f>IF(E16&lt;&gt;"", IF(ISNUMBER(E16), E16-'12082023'!E16, ""), "")
</f>
        <v/>
      </c>
      <c r="F38" s="51" t="str">
        <f>IF(F16&lt;&gt;"", IF(ISNUMBER(F16), F16-'12082023'!F16, ""), "")
</f>
        <v/>
      </c>
      <c r="G38" s="51">
        <f>IF(G16&lt;&gt;"", IF(ISNUMBER(G16), G16-'12082023'!G16, ""), "")
</f>
        <v>-2</v>
      </c>
      <c r="I38" s="59"/>
      <c r="J38" s="59"/>
      <c r="K38" s="59"/>
      <c r="L38" s="59"/>
    </row>
    <row r="39">
      <c r="B39" s="50" t="s">
        <v>31</v>
      </c>
      <c r="C39" s="51" t="str">
        <f>IF(C17&lt;&gt;"", IF(ISNUMBER(C17), C17-'12082023'!C17, ""), "")
</f>
        <v/>
      </c>
      <c r="D39" s="51" t="str">
        <f>IF(D17&lt;&gt;"", IF(ISNUMBER(D17), D17-'12082023'!D17, ""), "")
</f>
        <v/>
      </c>
      <c r="E39" s="51" t="str">
        <f>IF(E17&lt;&gt;"", IF(ISNUMBER(E17), E17-'12082023'!E17, ""), "")
</f>
        <v/>
      </c>
      <c r="F39" s="51" t="str">
        <f>IF(F17&lt;&gt;"", IF(ISNUMBER(F17), F17-'12082023'!F17, ""), "")
</f>
        <v/>
      </c>
      <c r="G39" s="51">
        <f>IF(G17&lt;&gt;"", IF(ISNUMBER(G17), G17-'12082023'!G17, ""), "")
</f>
        <v>-4.6</v>
      </c>
      <c r="I39" s="59"/>
      <c r="J39" s="59"/>
      <c r="K39" s="59"/>
      <c r="L39" s="59"/>
    </row>
    <row r="40">
      <c r="B40" s="50" t="s">
        <v>32</v>
      </c>
      <c r="C40" s="51" t="str">
        <f>IF(C18&lt;&gt;"", IF(ISNUMBER(C18), C18-'12082023'!C18, ""), "")
</f>
        <v/>
      </c>
      <c r="D40" s="51" t="str">
        <f>IF(D18&lt;&gt;"", IF(ISNUMBER(D18), D18-'12082023'!D18, ""), "")
</f>
        <v/>
      </c>
      <c r="E40" s="51" t="str">
        <f>IF(E18&lt;&gt;"", IF(ISNUMBER(E18), E18-'12082023'!E18, ""), "")
</f>
        <v/>
      </c>
      <c r="F40" s="51" t="str">
        <f>IF(F18&lt;&gt;"", IF(ISNUMBER(F18), F18-'12082023'!F18, ""), "")
</f>
        <v/>
      </c>
      <c r="G40" s="51">
        <f>IF(G18&lt;&gt;"", IF(ISNUMBER(G18), G18-'12082023'!G18, ""), "")
</f>
        <v>97</v>
      </c>
      <c r="I40" s="59"/>
      <c r="J40" s="59"/>
      <c r="K40" s="59"/>
      <c r="L40" s="59"/>
    </row>
    <row r="41">
      <c r="B41" s="50" t="s">
        <v>36</v>
      </c>
      <c r="C41" s="51" t="str">
        <f>IF(C19&lt;&gt;"", IF(ISNUMBER(C19), C19-'12082023'!C19, ""), "")
</f>
        <v/>
      </c>
      <c r="D41" s="51" t="str">
        <f>IF(D19&lt;&gt;"", IF(ISNUMBER(D19), D19-'12082023'!D19, ""), "")
</f>
        <v/>
      </c>
      <c r="E41" s="51" t="str">
        <f>IF(E19&lt;&gt;"", IF(ISNUMBER(E19), E19-'12082023'!E19, ""), "")
</f>
        <v/>
      </c>
      <c r="F41" s="51" t="str">
        <f>IF(F19&lt;&gt;"", IF(ISNUMBER(F19), F19-'12082023'!F19, ""), "")
</f>
        <v/>
      </c>
      <c r="G41" s="51">
        <f>IF(G19&lt;&gt;"", IF(ISNUMBER(G19), G19-'12082023'!G19, ""), "")
</f>
        <v>-3.5</v>
      </c>
    </row>
    <row r="42">
      <c r="B42" s="50" t="s">
        <v>37</v>
      </c>
      <c r="C42" s="51">
        <f>IF(C20&lt;&gt;"", IF(ISNUMBER(C20), C20-'12082023'!C20, ""), "")
</f>
        <v>2</v>
      </c>
      <c r="D42" s="51">
        <f>IF(D20&lt;&gt;"", IF(ISNUMBER(D20), D20-'12082023'!D20, ""), "")
</f>
        <v>67</v>
      </c>
      <c r="E42" s="51">
        <f>IF(E20&lt;&gt;"", IF(ISNUMBER(E20), E20-'12082023'!E20, ""), "")
</f>
        <v>4</v>
      </c>
      <c r="F42" s="51">
        <f>IF(F20&lt;&gt;"", IF(ISNUMBER(F20), F20-'12082023'!F20, ""), "")
</f>
        <v>66</v>
      </c>
      <c r="G42" s="51" t="str">
        <f>IF(G20&lt;&gt;"", IF(ISNUMBER(G20), G20-'12082023'!G20, ""), "")
</f>
        <v/>
      </c>
    </row>
    <row r="43">
      <c r="B43" s="50" t="s">
        <v>38</v>
      </c>
      <c r="C43" s="51">
        <f>IF(C21&lt;&gt;"", IF(ISNUMBER(C21), C21-'12082023'!C21, ""), "")
</f>
        <v>63</v>
      </c>
      <c r="D43" s="51">
        <f>IF(D21&lt;&gt;"", IF(ISNUMBER(D21), D21-'12082023'!D21, ""), "")
</f>
        <v>63</v>
      </c>
      <c r="E43" s="51">
        <f>IF(E21&lt;&gt;"", IF(ISNUMBER(E21), E21-'12082023'!E21, ""), "")
</f>
        <v>62</v>
      </c>
      <c r="F43" s="51">
        <f>IF(F21&lt;&gt;"", IF(ISNUMBER(F21), F21-'12082023'!F21, ""), "")
</f>
        <v>62</v>
      </c>
      <c r="G43" s="51" t="str">
        <f>IF(G21&lt;&gt;"", IF(ISNUMBER(G21), G21-'12082023'!G21, ""), "")
</f>
        <v/>
      </c>
    </row>
    <row r="44">
      <c r="B44" s="50" t="s">
        <v>39</v>
      </c>
      <c r="C44" s="51">
        <f>IF(C22&lt;&gt;"", IF(ISNUMBER(C22), C22-'12082023'!C22, ""), "")
</f>
        <v>48</v>
      </c>
      <c r="D44" s="51">
        <f>IF(D22&lt;&gt;"", IF(ISNUMBER(D22), D22-'12082023'!D22, ""), "")
</f>
        <v>48</v>
      </c>
      <c r="E44" s="51">
        <f>IF(E22&lt;&gt;"", IF(ISNUMBER(E22), E22-'12082023'!E22, ""), "")
</f>
        <v>47</v>
      </c>
      <c r="F44" s="51">
        <f>IF(F22&lt;&gt;"", IF(ISNUMBER(F22), F22-'12082023'!F22, ""), "")
</f>
        <v>48</v>
      </c>
      <c r="G44" s="51" t="str">
        <f>IF(G22&lt;&gt;"", IF(ISNUMBER(G22), G22-'12082023'!G22, ""), "")
</f>
        <v/>
      </c>
    </row>
    <row r="45">
      <c r="B45" s="50" t="s">
        <v>40</v>
      </c>
      <c r="C45" s="51">
        <f>IF(C23&lt;&gt;"", IF(ISNUMBER(C23), C23-'12082023'!C23, ""), "")
</f>
        <v>-1</v>
      </c>
      <c r="D45" s="51">
        <f>IF(D23&lt;&gt;"", IF(ISNUMBER(D23), D23-'12082023'!D23, ""), "")
</f>
        <v>-1</v>
      </c>
      <c r="E45" s="51">
        <f>IF(E23&lt;&gt;"", IF(ISNUMBER(E23), E23-'12082023'!E23, ""), "")
</f>
        <v>-1.5</v>
      </c>
      <c r="F45" s="51">
        <f>IF(F23&lt;&gt;"", IF(ISNUMBER(F23), F23-'12082023'!F23, ""), "")
</f>
        <v>-1.6</v>
      </c>
      <c r="G45" s="51" t="str">
        <f>IF(G23&lt;&gt;"", IF(ISNUMBER(G23), G23-'12082023'!G23, ""), "")
</f>
        <v/>
      </c>
    </row>
    <row r="46">
      <c r="B46" s="50" t="s">
        <v>14</v>
      </c>
      <c r="C46" s="60">
        <f>IF(F6&lt;&gt;"", F6-'12082023'!F6, "")
</f>
        <v>184</v>
      </c>
    </row>
    <row r="47">
      <c r="B47" s="50" t="s">
        <v>13</v>
      </c>
      <c r="C47" s="52">
        <f>IF(E6&lt;&gt;"", E6-'12082023'!E6, "")
</f>
        <v>94</v>
      </c>
    </row>
    <row r="49">
      <c r="D49" s="38"/>
      <c r="E49" s="38"/>
      <c r="F49" s="38"/>
    </row>
    <row r="50">
      <c r="D50" s="38"/>
      <c r="E50" s="38"/>
      <c r="F50" s="38"/>
    </row>
  </sheetData>
  <mergeCells count="12">
    <mergeCell ref="B31:G32"/>
    <mergeCell ref="B33:B34"/>
    <mergeCell ref="C33:D33"/>
    <mergeCell ref="E33:F33"/>
    <mergeCell ref="G33:G34"/>
    <mergeCell ref="B1:G2"/>
    <mergeCell ref="B9:G10"/>
    <mergeCell ref="B11:B12"/>
    <mergeCell ref="C11:D11"/>
    <mergeCell ref="E11:F11"/>
    <mergeCell ref="G11:G12"/>
    <mergeCell ref="B27:G28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45163.0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17</v>
      </c>
      <c r="C6" s="18" t="s">
        <v>18</v>
      </c>
      <c r="D6" s="20">
        <v>23.0</v>
      </c>
      <c r="E6" s="54">
        <v>94.0</v>
      </c>
      <c r="F6" s="55">
        <v>184.0</v>
      </c>
      <c r="G6" s="21">
        <v>37160.0</v>
      </c>
      <c r="H6" s="22" t="s">
        <v>19</v>
      </c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>
        <v>34.0</v>
      </c>
      <c r="D13" s="56">
        <v>40.0</v>
      </c>
      <c r="E13" s="56">
        <v>33.0</v>
      </c>
      <c r="F13" s="56">
        <v>40.0</v>
      </c>
      <c r="G13" s="57"/>
    </row>
    <row r="14">
      <c r="B14" s="29" t="s">
        <v>28</v>
      </c>
      <c r="C14" s="56">
        <v>28.0</v>
      </c>
      <c r="D14" s="56">
        <v>28.0</v>
      </c>
      <c r="E14" s="56">
        <v>28.0</v>
      </c>
      <c r="F14" s="56">
        <v>28.0</v>
      </c>
      <c r="G14" s="57"/>
    </row>
    <row r="15">
      <c r="B15" s="29" t="s">
        <v>29</v>
      </c>
      <c r="C15" s="31"/>
      <c r="D15" s="31"/>
      <c r="E15" s="31"/>
      <c r="F15" s="31"/>
      <c r="G15" s="56">
        <v>124.0</v>
      </c>
    </row>
    <row r="16">
      <c r="B16" s="29" t="s">
        <v>30</v>
      </c>
      <c r="C16" s="31"/>
      <c r="D16" s="31"/>
      <c r="E16" s="31"/>
      <c r="F16" s="31"/>
      <c r="G16" s="56">
        <v>102.0</v>
      </c>
      <c r="M16" s="58"/>
    </row>
    <row r="17">
      <c r="B17" s="29" t="s">
        <v>31</v>
      </c>
      <c r="C17" s="31"/>
      <c r="D17" s="31"/>
      <c r="E17" s="31"/>
      <c r="F17" s="31"/>
      <c r="G17" s="56">
        <v>97.0</v>
      </c>
    </row>
    <row r="18">
      <c r="B18" s="29" t="s">
        <v>32</v>
      </c>
      <c r="C18" s="31"/>
      <c r="D18" s="31"/>
      <c r="E18" s="31"/>
      <c r="F18" s="31"/>
      <c r="G18" s="56">
        <v>97.0</v>
      </c>
    </row>
    <row r="19">
      <c r="B19" s="29" t="s">
        <v>36</v>
      </c>
      <c r="C19" s="31"/>
      <c r="D19" s="31"/>
      <c r="E19" s="31"/>
      <c r="F19" s="31"/>
      <c r="G19" s="56">
        <v>106.0</v>
      </c>
    </row>
    <row r="20">
      <c r="B20" s="29" t="s">
        <v>37</v>
      </c>
      <c r="C20" s="56">
        <v>66.0</v>
      </c>
      <c r="D20" s="56">
        <v>66.0</v>
      </c>
      <c r="E20" s="56">
        <v>65.0</v>
      </c>
      <c r="F20" s="56">
        <v>66.0</v>
      </c>
      <c r="G20" s="57"/>
    </row>
    <row r="21">
      <c r="B21" s="29" t="s">
        <v>38</v>
      </c>
      <c r="C21" s="56">
        <v>63.0</v>
      </c>
      <c r="D21" s="56">
        <v>63.0</v>
      </c>
      <c r="E21" s="56">
        <v>62.0</v>
      </c>
      <c r="F21" s="56">
        <v>62.0</v>
      </c>
      <c r="G21" s="57"/>
    </row>
    <row r="22">
      <c r="B22" s="29" t="s">
        <v>39</v>
      </c>
      <c r="C22" s="56">
        <v>48.0</v>
      </c>
      <c r="D22" s="56">
        <v>48.0</v>
      </c>
      <c r="E22" s="56">
        <v>47.0</v>
      </c>
      <c r="F22" s="56">
        <v>47.0</v>
      </c>
      <c r="G22" s="57"/>
    </row>
    <row r="23">
      <c r="B23" s="29" t="s">
        <v>40</v>
      </c>
      <c r="C23" s="56">
        <v>40.0</v>
      </c>
      <c r="D23" s="56">
        <v>40.0</v>
      </c>
      <c r="E23" s="56">
        <v>40.0</v>
      </c>
      <c r="F23" s="56">
        <v>40.0</v>
      </c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27.76465028</v>
      </c>
      <c r="K28" s="36">
        <f>66+(13.8*E6)+(5*F6)-(6.8*D6)</f>
        <v>2126.8</v>
      </c>
      <c r="L28" s="37"/>
    </row>
    <row r="31">
      <c r="B31" s="44" t="s">
        <v>51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>
        <f>IF(C13&lt;&gt;"", IF(ISNUMBER(C13), C13-'25082024'!C13, ""), "")
</f>
        <v>0</v>
      </c>
      <c r="D35" s="51">
        <f>IF(D13&lt;&gt;"", IF(ISNUMBER(D13), D13-'25082024'!D13, ""), "")
</f>
        <v>1</v>
      </c>
      <c r="E35" s="51">
        <f>IF(E13&lt;&gt;"", IF(ISNUMBER(E13), E13-'25082024'!E13, ""), "")
</f>
        <v>-1</v>
      </c>
      <c r="F35" s="51">
        <f>IF(F13&lt;&gt;"", IF(ISNUMBER(F13), F13-'25082024'!F13, ""), "")
</f>
        <v>1</v>
      </c>
      <c r="G35" s="51" t="str">
        <f>IF(G13&lt;&gt;"", IF(ISNUMBER(G13), G13-'25082024'!G13, ""), "")
</f>
        <v/>
      </c>
      <c r="I35" s="49"/>
      <c r="J35" s="49"/>
      <c r="K35" s="49"/>
      <c r="L35" s="49"/>
    </row>
    <row r="36">
      <c r="B36" s="50" t="s">
        <v>28</v>
      </c>
      <c r="C36" s="51">
        <f>IF(C14&lt;&gt;"", IF(ISNUMBER(C14), C14-'25082024'!C14, ""), "")
</f>
        <v>3</v>
      </c>
      <c r="D36" s="51">
        <f>IF(D14&lt;&gt;"", IF(ISNUMBER(D14), D14-'25082024'!D14, ""), "")
</f>
        <v>3</v>
      </c>
      <c r="E36" s="51">
        <f>IF(E14&lt;&gt;"", IF(ISNUMBER(E14), E14-'25082024'!E14, ""), "")
</f>
        <v>3</v>
      </c>
      <c r="F36" s="51">
        <f>IF(F14&lt;&gt;"", IF(ISNUMBER(F14), F14-'25082024'!F14, ""), "")
</f>
        <v>3</v>
      </c>
      <c r="G36" s="51" t="str">
        <f>IF(G14&lt;&gt;"", IF(ISNUMBER(G14), G14-'25082024'!G14, ""), "")
</f>
        <v/>
      </c>
      <c r="I36" s="49"/>
      <c r="J36" s="49"/>
      <c r="K36" s="49"/>
      <c r="L36" s="49"/>
    </row>
    <row r="37">
      <c r="B37" s="50" t="s">
        <v>29</v>
      </c>
      <c r="C37" s="51" t="str">
        <f>IF(C15&lt;&gt;"", IF(ISNUMBER(C15), C15-'25082024'!C15, ""), "")
</f>
        <v/>
      </c>
      <c r="D37" s="51" t="str">
        <f>IF(D15&lt;&gt;"", IF(ISNUMBER(D15), D15-'25082024'!D15, ""), "")
</f>
        <v/>
      </c>
      <c r="E37" s="51" t="str">
        <f>IF(E15&lt;&gt;"", IF(ISNUMBER(E15), E15-'25082024'!E15, ""), "")
</f>
        <v/>
      </c>
      <c r="F37" s="51" t="str">
        <f>IF(F15&lt;&gt;"", IF(ISNUMBER(F15), F15-'25082024'!F15, ""), "")
</f>
        <v/>
      </c>
      <c r="G37" s="51">
        <f>IF(G15&lt;&gt;"", IF(ISNUMBER(G15), G15-'25082024'!G15, ""), "")
</f>
        <v>2</v>
      </c>
      <c r="I37" s="59"/>
      <c r="J37" s="59"/>
      <c r="K37" s="59"/>
      <c r="L37" s="59"/>
    </row>
    <row r="38">
      <c r="B38" s="50" t="s">
        <v>30</v>
      </c>
      <c r="C38" s="51" t="str">
        <f>IF(C16&lt;&gt;"", IF(ISNUMBER(C16), C16-'25082024'!C16, ""), "")
</f>
        <v/>
      </c>
      <c r="D38" s="51" t="str">
        <f>IF(D16&lt;&gt;"", IF(ISNUMBER(D16), D16-'25082024'!D16, ""), "")
</f>
        <v/>
      </c>
      <c r="E38" s="51" t="str">
        <f>IF(E16&lt;&gt;"", IF(ISNUMBER(E16), E16-'25082024'!E16, ""), "")
</f>
        <v/>
      </c>
      <c r="F38" s="51" t="str">
        <f>IF(F16&lt;&gt;"", IF(ISNUMBER(F16), F16-'25082024'!F16, ""), "")
</f>
        <v/>
      </c>
      <c r="G38" s="51">
        <f>IF(G16&lt;&gt;"", IF(ISNUMBER(G16), G16-'25082024'!G16, ""), "")
</f>
        <v>-1</v>
      </c>
      <c r="I38" s="59"/>
      <c r="J38" s="59"/>
      <c r="K38" s="59"/>
      <c r="L38" s="59"/>
    </row>
    <row r="39">
      <c r="B39" s="50" t="s">
        <v>31</v>
      </c>
      <c r="C39" s="51" t="str">
        <f>IF(C17&lt;&gt;"", IF(ISNUMBER(C17), C17-'25082024'!C17, ""), "")
</f>
        <v/>
      </c>
      <c r="D39" s="51" t="str">
        <f>IF(D17&lt;&gt;"", IF(ISNUMBER(D17), D17-'25082024'!D17, ""), "")
</f>
        <v/>
      </c>
      <c r="E39" s="51" t="str">
        <f>IF(E17&lt;&gt;"", IF(ISNUMBER(E17), E17-'25082024'!E17, ""), "")
</f>
        <v/>
      </c>
      <c r="F39" s="51" t="str">
        <f>IF(F17&lt;&gt;"", IF(ISNUMBER(F17), F17-'25082024'!F17, ""), "")
</f>
        <v/>
      </c>
      <c r="G39" s="51">
        <f>IF(G17&lt;&gt;"", IF(ISNUMBER(G17), G17-'25082024'!G17, ""), "")
</f>
        <v>0</v>
      </c>
      <c r="I39" s="59"/>
      <c r="J39" s="59"/>
      <c r="K39" s="59"/>
      <c r="L39" s="59"/>
    </row>
    <row r="40">
      <c r="B40" s="50" t="s">
        <v>32</v>
      </c>
      <c r="C40" s="51" t="str">
        <f>IF(C18&lt;&gt;"", IF(ISNUMBER(C18), C18-'25082024'!C18, ""), "")
</f>
        <v/>
      </c>
      <c r="D40" s="51" t="str">
        <f>IF(D18&lt;&gt;"", IF(ISNUMBER(D18), D18-'25082024'!D18, ""), "")
</f>
        <v/>
      </c>
      <c r="E40" s="51" t="str">
        <f>IF(E18&lt;&gt;"", IF(ISNUMBER(E18), E18-'25082024'!E18, ""), "")
</f>
        <v/>
      </c>
      <c r="F40" s="51" t="str">
        <f>IF(F18&lt;&gt;"", IF(ISNUMBER(F18), F18-'25082024'!F18, ""), "")
</f>
        <v/>
      </c>
      <c r="G40" s="51">
        <f>IF(G18&lt;&gt;"", IF(ISNUMBER(G18), G18-'25082024'!G18, ""), "")
</f>
        <v>0</v>
      </c>
      <c r="I40" s="59"/>
      <c r="J40" s="59"/>
      <c r="K40" s="59"/>
      <c r="L40" s="59"/>
    </row>
    <row r="41">
      <c r="B41" s="50" t="s">
        <v>36</v>
      </c>
      <c r="C41" s="51" t="str">
        <f>IF(C19&lt;&gt;"", IF(ISNUMBER(C19), C19-'25082024'!C19, ""), "")
</f>
        <v/>
      </c>
      <c r="D41" s="51" t="str">
        <f>IF(D19&lt;&gt;"", IF(ISNUMBER(D19), D19-'25082024'!D19, ""), "")
</f>
        <v/>
      </c>
      <c r="E41" s="51" t="str">
        <f>IF(E19&lt;&gt;"", IF(ISNUMBER(E19), E19-'25082024'!E19, ""), "")
</f>
        <v/>
      </c>
      <c r="F41" s="51" t="str">
        <f>IF(F19&lt;&gt;"", IF(ISNUMBER(F19), F19-'25082024'!F19, ""), "")
</f>
        <v/>
      </c>
      <c r="G41" s="51">
        <f>IF(G19&lt;&gt;"", IF(ISNUMBER(G19), G19-'25082024'!G19, ""), "")
</f>
        <v>1</v>
      </c>
    </row>
    <row r="42">
      <c r="B42" s="50" t="s">
        <v>37</v>
      </c>
      <c r="C42" s="51">
        <f>IF(C20&lt;&gt;"", IF(ISNUMBER(C20), C20-'25082024'!C20, ""), "")
</f>
        <v>1</v>
      </c>
      <c r="D42" s="51">
        <f>IF(D20&lt;&gt;"", IF(ISNUMBER(D20), D20-'25082024'!D20, ""), "")
</f>
        <v>-1</v>
      </c>
      <c r="E42" s="51">
        <f>IF(E20&lt;&gt;"", IF(ISNUMBER(E20), E20-'25082024'!E20, ""), "")
</f>
        <v>-1</v>
      </c>
      <c r="F42" s="51">
        <f>IF(F20&lt;&gt;"", IF(ISNUMBER(F20), F20-'25082024'!F20, ""), "")
</f>
        <v>0</v>
      </c>
      <c r="G42" s="51" t="str">
        <f>IF(G20&lt;&gt;"", IF(ISNUMBER(G20), G20-'25082024'!G20, ""), "")
</f>
        <v/>
      </c>
    </row>
    <row r="43">
      <c r="B43" s="50" t="s">
        <v>38</v>
      </c>
      <c r="C43" s="51">
        <f>IF(C21&lt;&gt;"", IF(ISNUMBER(C21), C21-'25082024'!C21, ""), "")
</f>
        <v>0</v>
      </c>
      <c r="D43" s="51">
        <f>IF(D21&lt;&gt;"", IF(ISNUMBER(D21), D21-'25082024'!D21, ""), "")
</f>
        <v>0</v>
      </c>
      <c r="E43" s="51">
        <f>IF(E21&lt;&gt;"", IF(ISNUMBER(E21), E21-'25082024'!E21, ""), "")
</f>
        <v>0</v>
      </c>
      <c r="F43" s="51">
        <f>IF(F21&lt;&gt;"", IF(ISNUMBER(F21), F21-'25082024'!F21, ""), "")
</f>
        <v>0</v>
      </c>
      <c r="G43" s="51" t="str">
        <f>IF(G21&lt;&gt;"", IF(ISNUMBER(G21), G21-'25082024'!G21, ""), "")
</f>
        <v/>
      </c>
    </row>
    <row r="44">
      <c r="B44" s="50" t="s">
        <v>39</v>
      </c>
      <c r="C44" s="51">
        <f>IF(C22&lt;&gt;"", IF(ISNUMBER(C22), C22-'25082024'!C22, ""), "")
</f>
        <v>0</v>
      </c>
      <c r="D44" s="51">
        <f>IF(D22&lt;&gt;"", IF(ISNUMBER(D22), D22-'25082024'!D22, ""), "")
</f>
        <v>0</v>
      </c>
      <c r="E44" s="51">
        <f>IF(E22&lt;&gt;"", IF(ISNUMBER(E22), E22-'25082024'!E22, ""), "")
</f>
        <v>0</v>
      </c>
      <c r="F44" s="51">
        <f>IF(F22&lt;&gt;"", IF(ISNUMBER(F22), F22-'25082024'!F22, ""), "")
</f>
        <v>-1</v>
      </c>
      <c r="G44" s="51" t="str">
        <f>IF(G22&lt;&gt;"", IF(ISNUMBER(G22), G22-'25082024'!G22, ""), "")
</f>
        <v/>
      </c>
    </row>
    <row r="45">
      <c r="B45" s="50" t="s">
        <v>40</v>
      </c>
      <c r="C45" s="51">
        <f>IF(C23&lt;&gt;"", IF(ISNUMBER(C23), C23-'25082024'!C23, ""), "")
</f>
        <v>1</v>
      </c>
      <c r="D45" s="51">
        <f>IF(D23&lt;&gt;"", IF(ISNUMBER(D23), D23-'25082024'!D23, ""), "")
</f>
        <v>1</v>
      </c>
      <c r="E45" s="51">
        <f>IF(E23&lt;&gt;"", IF(ISNUMBER(E23), E23-'25082024'!E23, ""), "")
</f>
        <v>1</v>
      </c>
      <c r="F45" s="51">
        <f>IF(F23&lt;&gt;"", IF(ISNUMBER(F23), F23-'25082024'!F23, ""), "")
</f>
        <v>1</v>
      </c>
      <c r="G45" s="51" t="str">
        <f>IF(G23&lt;&gt;"", IF(ISNUMBER(G23), G23-'25082024'!G23, ""), "")
</f>
        <v/>
      </c>
    </row>
    <row r="46">
      <c r="B46" s="50" t="s">
        <v>14</v>
      </c>
      <c r="C46" s="60">
        <f>IF(F6&lt;&gt;"", F6-'12082023'!F6, "")
</f>
        <v>184</v>
      </c>
    </row>
    <row r="47">
      <c r="B47" s="50" t="s">
        <v>13</v>
      </c>
      <c r="C47" s="52">
        <f>IF(E6&lt;&gt;"", E6-'12082023'!E6, "")
</f>
        <v>94</v>
      </c>
    </row>
    <row r="49">
      <c r="D49" s="38"/>
      <c r="E49" s="38"/>
      <c r="F49" s="38"/>
    </row>
    <row r="50">
      <c r="D50" s="38"/>
      <c r="E50" s="38"/>
      <c r="F50" s="38"/>
    </row>
  </sheetData>
  <mergeCells count="12">
    <mergeCell ref="B31:G32"/>
    <mergeCell ref="B33:B34"/>
    <mergeCell ref="C33:D33"/>
    <mergeCell ref="E33:F33"/>
    <mergeCell ref="G33:G34"/>
    <mergeCell ref="B1:G2"/>
    <mergeCell ref="B9:G10"/>
    <mergeCell ref="B11:B12"/>
    <mergeCell ref="C11:D11"/>
    <mergeCell ref="E11:F11"/>
    <mergeCell ref="G11:G12"/>
    <mergeCell ref="B27:G28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45617.0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52</v>
      </c>
      <c r="C6" s="18" t="s">
        <v>53</v>
      </c>
      <c r="D6" s="20">
        <v>27.0</v>
      </c>
      <c r="E6" s="54">
        <v>59.0</v>
      </c>
      <c r="F6" s="55">
        <v>167.0</v>
      </c>
      <c r="G6" s="21">
        <v>35699.0</v>
      </c>
      <c r="H6" s="22" t="s">
        <v>54</v>
      </c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>
        <v>23.0</v>
      </c>
      <c r="D13" s="56">
        <v>26.0</v>
      </c>
      <c r="E13" s="56">
        <v>24.0</v>
      </c>
      <c r="F13" s="56">
        <v>27.0</v>
      </c>
      <c r="G13" s="57"/>
    </row>
    <row r="14">
      <c r="B14" s="29" t="s">
        <v>28</v>
      </c>
      <c r="C14" s="56">
        <v>22.0</v>
      </c>
      <c r="D14" s="56">
        <v>22.0</v>
      </c>
      <c r="E14" s="56">
        <v>23.0</v>
      </c>
      <c r="F14" s="56">
        <v>23.0</v>
      </c>
      <c r="G14" s="57"/>
    </row>
    <row r="15">
      <c r="B15" s="29" t="s">
        <v>29</v>
      </c>
      <c r="C15" s="31"/>
      <c r="D15" s="31"/>
      <c r="E15" s="31"/>
      <c r="F15" s="31"/>
      <c r="G15" s="56">
        <v>101.0</v>
      </c>
    </row>
    <row r="16">
      <c r="B16" s="29" t="s">
        <v>30</v>
      </c>
      <c r="C16" s="31"/>
      <c r="D16" s="31"/>
      <c r="E16" s="31"/>
      <c r="F16" s="31"/>
      <c r="G16" s="56">
        <v>83.0</v>
      </c>
      <c r="M16" s="58"/>
    </row>
    <row r="17">
      <c r="B17" s="29" t="s">
        <v>31</v>
      </c>
      <c r="C17" s="31"/>
      <c r="D17" s="31"/>
      <c r="E17" s="31"/>
      <c r="F17" s="31"/>
      <c r="G17" s="56">
        <v>69.0</v>
      </c>
    </row>
    <row r="18">
      <c r="B18" s="29" t="s">
        <v>32</v>
      </c>
      <c r="C18" s="31"/>
      <c r="D18" s="31"/>
      <c r="E18" s="31"/>
      <c r="F18" s="31"/>
      <c r="G18" s="56">
        <v>69.0</v>
      </c>
    </row>
    <row r="19">
      <c r="B19" s="29" t="s">
        <v>36</v>
      </c>
      <c r="C19" s="31"/>
      <c r="D19" s="31"/>
      <c r="E19" s="31"/>
      <c r="F19" s="31"/>
      <c r="G19" s="56">
        <v>94.0</v>
      </c>
    </row>
    <row r="20">
      <c r="B20" s="29" t="s">
        <v>37</v>
      </c>
      <c r="C20" s="56">
        <v>57.0</v>
      </c>
      <c r="D20" s="56">
        <v>58.0</v>
      </c>
      <c r="E20" s="56">
        <v>57.0</v>
      </c>
      <c r="F20" s="56">
        <v>59.0</v>
      </c>
      <c r="G20" s="57"/>
    </row>
    <row r="21">
      <c r="B21" s="29" t="s">
        <v>38</v>
      </c>
      <c r="C21" s="56">
        <v>56.0</v>
      </c>
      <c r="D21" s="56">
        <v>56.0</v>
      </c>
      <c r="E21" s="56">
        <v>57.0</v>
      </c>
      <c r="F21" s="56">
        <v>57.0</v>
      </c>
      <c r="G21" s="57"/>
    </row>
    <row r="22">
      <c r="B22" s="29" t="s">
        <v>39</v>
      </c>
      <c r="C22" s="56">
        <v>41.0</v>
      </c>
      <c r="D22" s="56">
        <v>41.0</v>
      </c>
      <c r="E22" s="56">
        <v>41.0</v>
      </c>
      <c r="F22" s="56">
        <v>41.0</v>
      </c>
      <c r="G22" s="57"/>
    </row>
    <row r="23">
      <c r="B23" s="29" t="s">
        <v>40</v>
      </c>
      <c r="C23" s="56">
        <v>38.0</v>
      </c>
      <c r="D23" s="56">
        <v>38.0</v>
      </c>
      <c r="E23" s="56">
        <v>37.0</v>
      </c>
      <c r="F23" s="56">
        <v>37.0</v>
      </c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21.1552942</v>
      </c>
      <c r="K28" s="36">
        <f>66+(13.8*E6)+(5*F6)-(6.8*D6)</f>
        <v>1531.6</v>
      </c>
      <c r="L28" s="37"/>
    </row>
    <row r="31">
      <c r="B31" s="44" t="s">
        <v>51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/>
      <c r="D35" s="51"/>
      <c r="E35" s="51"/>
      <c r="F35" s="51"/>
      <c r="G35" s="51"/>
      <c r="I35" s="49"/>
      <c r="J35" s="49"/>
      <c r="K35" s="49"/>
      <c r="L35" s="49"/>
    </row>
    <row r="36">
      <c r="B36" s="50" t="s">
        <v>28</v>
      </c>
      <c r="C36" s="51"/>
      <c r="D36" s="51"/>
      <c r="E36" s="51"/>
      <c r="F36" s="51"/>
      <c r="G36" s="51"/>
      <c r="I36" s="49"/>
      <c r="J36" s="49"/>
      <c r="K36" s="49"/>
      <c r="L36" s="49"/>
    </row>
    <row r="37">
      <c r="B37" s="50" t="s">
        <v>29</v>
      </c>
      <c r="C37" s="51"/>
      <c r="D37" s="51"/>
      <c r="E37" s="51"/>
      <c r="F37" s="51"/>
      <c r="G37" s="51"/>
      <c r="I37" s="59"/>
      <c r="J37" s="59"/>
      <c r="K37" s="59"/>
      <c r="L37" s="59"/>
    </row>
    <row r="38">
      <c r="B38" s="50" t="s">
        <v>30</v>
      </c>
      <c r="C38" s="51"/>
      <c r="D38" s="51"/>
      <c r="E38" s="51"/>
      <c r="F38" s="51"/>
      <c r="G38" s="51"/>
      <c r="I38" s="59"/>
      <c r="J38" s="59"/>
      <c r="K38" s="59"/>
      <c r="L38" s="59"/>
    </row>
    <row r="39">
      <c r="B39" s="50" t="s">
        <v>31</v>
      </c>
      <c r="C39" s="51"/>
      <c r="D39" s="51"/>
      <c r="E39" s="51"/>
      <c r="F39" s="51"/>
      <c r="G39" s="51"/>
      <c r="I39" s="59"/>
      <c r="J39" s="59"/>
      <c r="K39" s="59"/>
      <c r="L39" s="59"/>
    </row>
    <row r="40">
      <c r="B40" s="50" t="s">
        <v>32</v>
      </c>
      <c r="C40" s="51"/>
      <c r="D40" s="51"/>
      <c r="E40" s="51"/>
      <c r="F40" s="51"/>
      <c r="G40" s="51"/>
      <c r="I40" s="59"/>
      <c r="J40" s="59"/>
      <c r="K40" s="59"/>
      <c r="L40" s="59"/>
    </row>
    <row r="41">
      <c r="B41" s="50" t="s">
        <v>36</v>
      </c>
      <c r="C41" s="51"/>
      <c r="D41" s="51"/>
      <c r="E41" s="51"/>
      <c r="F41" s="51"/>
      <c r="G41" s="51"/>
    </row>
    <row r="42">
      <c r="B42" s="50" t="s">
        <v>37</v>
      </c>
      <c r="C42" s="51"/>
      <c r="D42" s="51"/>
      <c r="E42" s="51"/>
      <c r="F42" s="51"/>
      <c r="G42" s="51"/>
    </row>
    <row r="43">
      <c r="B43" s="50" t="s">
        <v>38</v>
      </c>
      <c r="C43" s="51"/>
      <c r="D43" s="51"/>
      <c r="E43" s="51"/>
      <c r="F43" s="51"/>
      <c r="G43" s="51"/>
    </row>
    <row r="44">
      <c r="B44" s="50" t="s">
        <v>39</v>
      </c>
      <c r="C44" s="51"/>
      <c r="D44" s="51"/>
      <c r="E44" s="51"/>
      <c r="F44" s="51"/>
      <c r="G44" s="51"/>
    </row>
    <row r="45">
      <c r="B45" s="50" t="s">
        <v>40</v>
      </c>
      <c r="C45" s="51"/>
      <c r="D45" s="51"/>
      <c r="E45" s="51"/>
      <c r="F45" s="51"/>
      <c r="G45" s="51"/>
    </row>
    <row r="46">
      <c r="B46" s="50" t="s">
        <v>14</v>
      </c>
      <c r="C46" s="52"/>
    </row>
    <row r="47">
      <c r="B47" s="50" t="s">
        <v>13</v>
      </c>
      <c r="C47" s="52"/>
    </row>
    <row r="49">
      <c r="D49" s="38"/>
      <c r="E49" s="38"/>
      <c r="F49" s="38"/>
    </row>
    <row r="50">
      <c r="D50" s="38"/>
      <c r="E50" s="38"/>
      <c r="F50" s="38"/>
    </row>
  </sheetData>
  <mergeCells count="12">
    <mergeCell ref="B31:G32"/>
    <mergeCell ref="B33:B34"/>
    <mergeCell ref="C33:D33"/>
    <mergeCell ref="E33:F33"/>
    <mergeCell ref="G33:G34"/>
    <mergeCell ref="B1:G2"/>
    <mergeCell ref="B9:G10"/>
    <mergeCell ref="B11:B12"/>
    <mergeCell ref="C11:D11"/>
    <mergeCell ref="E11:F11"/>
    <mergeCell ref="G11:G12"/>
    <mergeCell ref="B27:G28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45662.0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52</v>
      </c>
      <c r="C6" s="18" t="s">
        <v>53</v>
      </c>
      <c r="D6" s="20">
        <v>27.0</v>
      </c>
      <c r="E6" s="54">
        <v>59.0</v>
      </c>
      <c r="F6" s="55">
        <v>167.0</v>
      </c>
      <c r="G6" s="21">
        <v>35723.0</v>
      </c>
      <c r="H6" s="22" t="s">
        <v>54</v>
      </c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>
        <v>23.0</v>
      </c>
      <c r="D13" s="56">
        <v>26.0</v>
      </c>
      <c r="E13" s="56">
        <v>24.0</v>
      </c>
      <c r="F13" s="56">
        <v>27.0</v>
      </c>
      <c r="G13" s="57"/>
    </row>
    <row r="14">
      <c r="B14" s="29" t="s">
        <v>28</v>
      </c>
      <c r="C14" s="56">
        <v>21.0</v>
      </c>
      <c r="D14" s="56">
        <v>21.0</v>
      </c>
      <c r="E14" s="56">
        <v>21.0</v>
      </c>
      <c r="F14" s="56">
        <v>21.0</v>
      </c>
      <c r="G14" s="57"/>
    </row>
    <row r="15">
      <c r="B15" s="29" t="s">
        <v>29</v>
      </c>
      <c r="C15" s="31"/>
      <c r="D15" s="31"/>
      <c r="E15" s="31"/>
      <c r="F15" s="31"/>
      <c r="G15" s="56">
        <v>100.0</v>
      </c>
    </row>
    <row r="16">
      <c r="B16" s="29" t="s">
        <v>30</v>
      </c>
      <c r="C16" s="31" t="s">
        <v>27</v>
      </c>
      <c r="D16" s="31" t="s">
        <v>27</v>
      </c>
      <c r="E16" s="31" t="s">
        <v>27</v>
      </c>
      <c r="F16" s="31" t="s">
        <v>27</v>
      </c>
      <c r="G16" s="56">
        <v>84.0</v>
      </c>
      <c r="M16" s="58"/>
    </row>
    <row r="17">
      <c r="B17" s="29" t="s">
        <v>31</v>
      </c>
      <c r="C17" s="31" t="s">
        <v>27</v>
      </c>
      <c r="D17" s="31" t="s">
        <v>27</v>
      </c>
      <c r="E17" s="31" t="s">
        <v>27</v>
      </c>
      <c r="F17" s="31" t="s">
        <v>27</v>
      </c>
      <c r="G17" s="56">
        <v>70.0</v>
      </c>
    </row>
    <row r="18">
      <c r="B18" s="29" t="s">
        <v>32</v>
      </c>
      <c r="C18" s="31" t="s">
        <v>27</v>
      </c>
      <c r="D18" s="31" t="s">
        <v>27</v>
      </c>
      <c r="E18" s="31" t="s">
        <v>27</v>
      </c>
      <c r="F18" s="31" t="s">
        <v>27</v>
      </c>
      <c r="G18" s="56">
        <v>70.0</v>
      </c>
    </row>
    <row r="19">
      <c r="B19" s="29" t="s">
        <v>36</v>
      </c>
      <c r="C19" s="31" t="s">
        <v>27</v>
      </c>
      <c r="D19" s="31" t="s">
        <v>27</v>
      </c>
      <c r="E19" s="31" t="s">
        <v>27</v>
      </c>
      <c r="F19" s="31" t="s">
        <v>27</v>
      </c>
      <c r="G19" s="56">
        <v>93.0</v>
      </c>
    </row>
    <row r="20">
      <c r="B20" s="29" t="s">
        <v>37</v>
      </c>
      <c r="C20" s="56">
        <v>56.0</v>
      </c>
      <c r="D20" s="56">
        <v>56.0</v>
      </c>
      <c r="E20" s="56">
        <v>56.0</v>
      </c>
      <c r="F20" s="56">
        <v>56.0</v>
      </c>
      <c r="G20" s="57"/>
    </row>
    <row r="21">
      <c r="B21" s="29" t="s">
        <v>38</v>
      </c>
      <c r="C21" s="56">
        <v>52.0</v>
      </c>
      <c r="D21" s="56">
        <v>53.0</v>
      </c>
      <c r="E21" s="56">
        <v>53.0</v>
      </c>
      <c r="F21" s="56">
        <v>53.0</v>
      </c>
      <c r="G21" s="57"/>
    </row>
    <row r="22">
      <c r="B22" s="29" t="s">
        <v>39</v>
      </c>
      <c r="C22" s="56">
        <v>41.0</v>
      </c>
      <c r="D22" s="56">
        <v>41.0</v>
      </c>
      <c r="E22" s="56">
        <v>43.0</v>
      </c>
      <c r="F22" s="56">
        <v>43.0</v>
      </c>
      <c r="G22" s="57"/>
    </row>
    <row r="23">
      <c r="B23" s="29" t="s">
        <v>40</v>
      </c>
      <c r="C23" s="56">
        <v>37.0</v>
      </c>
      <c r="D23" s="56">
        <v>37.0</v>
      </c>
      <c r="E23" s="56">
        <v>37.0</v>
      </c>
      <c r="F23" s="56">
        <v>37.0</v>
      </c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21.1552942</v>
      </c>
      <c r="K28" s="36">
        <f>66+(13.8*E6)+(5*F6)-(6.8*D6)</f>
        <v>1531.6</v>
      </c>
      <c r="L28" s="37"/>
    </row>
    <row r="31">
      <c r="B31" s="44" t="s">
        <v>55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>
        <f>IF(C13&lt;&gt;"", IF(ISNUMBER(C13), C13-'Ianca | 21112024'!C13, ""), "")</f>
        <v>0</v>
      </c>
      <c r="D35" s="51">
        <f>IF(D13&lt;&gt;"", IF(ISNUMBER(D13), D13-'Ianca | 21112024'!D13, ""), "")</f>
        <v>0</v>
      </c>
      <c r="E35" s="51">
        <f>IF(E13&lt;&gt;"", IF(ISNUMBER(E13), E13-'Ianca | 21112024'!E13, ""), "")</f>
        <v>0</v>
      </c>
      <c r="F35" s="51">
        <f>IF(F13&lt;&gt;"", IF(ISNUMBER(F13), F13-'Ianca | 21112024'!F13, ""), "")</f>
        <v>0</v>
      </c>
      <c r="G35" s="51" t="str">
        <f>IF(G13&lt;&gt;"", IF(ISNUMBER(G13), G13-'Ianca | 21112024'!G13, ""), "")</f>
        <v/>
      </c>
      <c r="I35" s="49"/>
      <c r="J35" s="49"/>
      <c r="K35" s="49"/>
      <c r="L35" s="49"/>
    </row>
    <row r="36">
      <c r="B36" s="50" t="s">
        <v>28</v>
      </c>
      <c r="C36" s="51">
        <f>IF(C14&lt;&gt;"", IF(ISNUMBER(C14), C14-'Ianca | 21112024'!C14, ""), "")</f>
        <v>-1</v>
      </c>
      <c r="D36" s="51">
        <f>IF(D14&lt;&gt;"", IF(ISNUMBER(D14), D14-'Ianca | 21112024'!D14, ""), "")</f>
        <v>-1</v>
      </c>
      <c r="E36" s="51">
        <f>IF(E14&lt;&gt;"", IF(ISNUMBER(E14), E14-'Ianca | 21112024'!E14, ""), "")</f>
        <v>-2</v>
      </c>
      <c r="F36" s="51">
        <f>IF(F14&lt;&gt;"", IF(ISNUMBER(F14), F14-'Ianca | 21112024'!F14, ""), "")</f>
        <v>-2</v>
      </c>
      <c r="G36" s="51" t="str">
        <f>IF(G14&lt;&gt;"", IF(ISNUMBER(G14), G14-'Ianca | 21112024'!G14, ""), "")</f>
        <v/>
      </c>
      <c r="I36" s="49"/>
      <c r="J36" s="49"/>
      <c r="K36" s="49"/>
      <c r="L36" s="49"/>
    </row>
    <row r="37">
      <c r="B37" s="50" t="s">
        <v>29</v>
      </c>
      <c r="C37" s="51" t="str">
        <f>IF(C15&lt;&gt;"", IF(ISNUMBER(C15), C15-'Ianca | 21112024'!C15, ""), "")</f>
        <v/>
      </c>
      <c r="D37" s="51" t="str">
        <f>IF(D15&lt;&gt;"", IF(ISNUMBER(D15), D15-'Ianca | 21112024'!D15, ""), "")</f>
        <v/>
      </c>
      <c r="E37" s="51" t="str">
        <f>IF(E15&lt;&gt;"", IF(ISNUMBER(E15), E15-'Ianca | 21112024'!E15, ""), "")</f>
        <v/>
      </c>
      <c r="F37" s="51" t="str">
        <f>IF(F15&lt;&gt;"", IF(ISNUMBER(F15), F15-'Ianca | 21112024'!F15, ""), "")</f>
        <v/>
      </c>
      <c r="G37" s="51">
        <f>IF(G15&lt;&gt;"", IF(ISNUMBER(G15), G15-'Ianca | 21112024'!G15, ""), "")</f>
        <v>-1</v>
      </c>
      <c r="I37" s="59"/>
      <c r="J37" s="59"/>
      <c r="K37" s="59"/>
      <c r="L37" s="59"/>
    </row>
    <row r="38">
      <c r="B38" s="50" t="s">
        <v>30</v>
      </c>
      <c r="C38" s="51" t="str">
        <f>IF(C16&lt;&gt;"", IF(ISNUMBER(C16), C16-'Ianca | 21112024'!C16, ""), "")</f>
        <v/>
      </c>
      <c r="D38" s="51" t="str">
        <f>IF(D16&lt;&gt;"", IF(ISNUMBER(D16), D16-'Ianca | 21112024'!D16, ""), "")</f>
        <v/>
      </c>
      <c r="E38" s="51" t="str">
        <f>IF(E16&lt;&gt;"", IF(ISNUMBER(E16), E16-'Ianca | 21112024'!E16, ""), "")</f>
        <v/>
      </c>
      <c r="F38" s="51" t="str">
        <f>IF(F16&lt;&gt;"", IF(ISNUMBER(F16), F16-'Ianca | 21112024'!F16, ""), "")</f>
        <v/>
      </c>
      <c r="G38" s="51">
        <f>IF(G16&lt;&gt;"", IF(ISNUMBER(G16), G16-'Ianca | 21112024'!G16, ""), "")</f>
        <v>1</v>
      </c>
      <c r="I38" s="59"/>
      <c r="J38" s="59"/>
      <c r="K38" s="59"/>
      <c r="L38" s="59"/>
    </row>
    <row r="39">
      <c r="B39" s="50" t="s">
        <v>31</v>
      </c>
      <c r="C39" s="51" t="str">
        <f>IF(C17&lt;&gt;"", IF(ISNUMBER(C17), C17-'Ianca | 21112024'!C17, ""), "")</f>
        <v/>
      </c>
      <c r="D39" s="51" t="str">
        <f>IF(D17&lt;&gt;"", IF(ISNUMBER(D17), D17-'Ianca | 21112024'!D17, ""), "")</f>
        <v/>
      </c>
      <c r="E39" s="51" t="str">
        <f>IF(E17&lt;&gt;"", IF(ISNUMBER(E17), E17-'Ianca | 21112024'!E17, ""), "")</f>
        <v/>
      </c>
      <c r="F39" s="51" t="str">
        <f>IF(F17&lt;&gt;"", IF(ISNUMBER(F17), F17-'Ianca | 21112024'!F17, ""), "")</f>
        <v/>
      </c>
      <c r="G39" s="51">
        <f>IF(G17&lt;&gt;"", IF(ISNUMBER(G17), G17-'Ianca | 21112024'!G17, ""), "")</f>
        <v>1</v>
      </c>
      <c r="I39" s="59"/>
      <c r="J39" s="59"/>
      <c r="K39" s="59"/>
      <c r="L39" s="59"/>
    </row>
    <row r="40">
      <c r="B40" s="50" t="s">
        <v>32</v>
      </c>
      <c r="C40" s="51" t="str">
        <f>IF(C18&lt;&gt;"", IF(ISNUMBER(C18), C18-'Ianca | 21112024'!C18, ""), "")</f>
        <v/>
      </c>
      <c r="D40" s="51" t="str">
        <f>IF(D18&lt;&gt;"", IF(ISNUMBER(D18), D18-'Ianca | 21112024'!D18, ""), "")</f>
        <v/>
      </c>
      <c r="E40" s="51" t="str">
        <f>IF(E18&lt;&gt;"", IF(ISNUMBER(E18), E18-'Ianca | 21112024'!E18, ""), "")</f>
        <v/>
      </c>
      <c r="F40" s="51" t="str">
        <f>IF(F18&lt;&gt;"", IF(ISNUMBER(F18), F18-'Ianca | 21112024'!F18, ""), "")</f>
        <v/>
      </c>
      <c r="G40" s="51">
        <f>IF(G18&lt;&gt;"", IF(ISNUMBER(G18), G18-'Ianca | 21112024'!G18, ""), "")</f>
        <v>1</v>
      </c>
      <c r="I40" s="59"/>
      <c r="J40" s="59"/>
      <c r="K40" s="59"/>
      <c r="L40" s="59"/>
    </row>
    <row r="41">
      <c r="B41" s="50" t="s">
        <v>36</v>
      </c>
      <c r="C41" s="51" t="str">
        <f>IF(C19&lt;&gt;"", IF(ISNUMBER(C19), C19-'Ianca | 21112024'!C19, ""), "")</f>
        <v/>
      </c>
      <c r="D41" s="51" t="str">
        <f>IF(D19&lt;&gt;"", IF(ISNUMBER(D19), D19-'Ianca | 21112024'!D19, ""), "")</f>
        <v/>
      </c>
      <c r="E41" s="51" t="str">
        <f>IF(E19&lt;&gt;"", IF(ISNUMBER(E19), E19-'Ianca | 21112024'!E19, ""), "")</f>
        <v/>
      </c>
      <c r="F41" s="51" t="str">
        <f>IF(F19&lt;&gt;"", IF(ISNUMBER(F19), F19-'Ianca | 21112024'!F19, ""), "")</f>
        <v/>
      </c>
      <c r="G41" s="51">
        <f>IF(G19&lt;&gt;"", IF(ISNUMBER(G19), G19-'Ianca | 21112024'!G19, ""), "")</f>
        <v>-1</v>
      </c>
    </row>
    <row r="42">
      <c r="B42" s="50" t="s">
        <v>37</v>
      </c>
      <c r="C42" s="51">
        <f>IF(C20&lt;&gt;"", IF(ISNUMBER(C20), C20-'Ianca | 21112024'!C20, ""), "")</f>
        <v>-1</v>
      </c>
      <c r="D42" s="51">
        <f>IF(D20&lt;&gt;"", IF(ISNUMBER(D20), D20-'Ianca | 21112024'!D20, ""), "")</f>
        <v>-2</v>
      </c>
      <c r="E42" s="51">
        <f>IF(E20&lt;&gt;"", IF(ISNUMBER(E20), E20-'Ianca | 21112024'!E20, ""), "")</f>
        <v>-1</v>
      </c>
      <c r="F42" s="51">
        <f>IF(F20&lt;&gt;"", IF(ISNUMBER(F20), F20-'Ianca | 21112024'!F20, ""), "")</f>
        <v>-3</v>
      </c>
      <c r="G42" s="51" t="str">
        <f>IF(G20&lt;&gt;"", IF(ISNUMBER(G20), G20-'Ianca | 21112024'!G20, ""), "")</f>
        <v/>
      </c>
    </row>
    <row r="43">
      <c r="B43" s="50" t="s">
        <v>38</v>
      </c>
      <c r="C43" s="51">
        <f>IF(C21&lt;&gt;"", IF(ISNUMBER(C21), C21-'Ianca | 21112024'!C21, ""), "")</f>
        <v>-4</v>
      </c>
      <c r="D43" s="51">
        <f>IF(D21&lt;&gt;"", IF(ISNUMBER(D21), D21-'Ianca | 21112024'!D21, ""), "")</f>
        <v>-3</v>
      </c>
      <c r="E43" s="51">
        <f>IF(E21&lt;&gt;"", IF(ISNUMBER(E21), E21-'Ianca | 21112024'!E21, ""), "")</f>
        <v>-4</v>
      </c>
      <c r="F43" s="51">
        <f>IF(F21&lt;&gt;"", IF(ISNUMBER(F21), F21-'Ianca | 21112024'!F21, ""), "")</f>
        <v>-4</v>
      </c>
      <c r="G43" s="51" t="str">
        <f>IF(G21&lt;&gt;"", IF(ISNUMBER(G21), G21-'Ianca | 21112024'!G21, ""), "")</f>
        <v/>
      </c>
    </row>
    <row r="44">
      <c r="B44" s="50" t="s">
        <v>39</v>
      </c>
      <c r="C44" s="51">
        <f>IF(C22&lt;&gt;"", IF(ISNUMBER(C22), C22-'Ianca | 21112024'!C22, ""), "")</f>
        <v>0</v>
      </c>
      <c r="D44" s="51">
        <f>IF(D22&lt;&gt;"", IF(ISNUMBER(D22), D22-'Ianca | 21112024'!D22, ""), "")</f>
        <v>0</v>
      </c>
      <c r="E44" s="51">
        <f>IF(E22&lt;&gt;"", IF(ISNUMBER(E22), E22-'Ianca | 21112024'!E22, ""), "")</f>
        <v>2</v>
      </c>
      <c r="F44" s="51">
        <f>IF(F22&lt;&gt;"", IF(ISNUMBER(F22), F22-'Ianca | 21112024'!F22, ""), "")</f>
        <v>2</v>
      </c>
      <c r="G44" s="51" t="str">
        <f>IF(G22&lt;&gt;"", IF(ISNUMBER(G22), G22-'Ianca | 21112024'!G22, ""), "")</f>
        <v/>
      </c>
    </row>
    <row r="45">
      <c r="B45" s="50" t="s">
        <v>40</v>
      </c>
      <c r="C45" s="51">
        <f>IF(C23&lt;&gt;"", IF(ISNUMBER(C23), C23-'Ianca | 21112024'!C23, ""), "")</f>
        <v>-1</v>
      </c>
      <c r="D45" s="51">
        <f>IF(D23&lt;&gt;"", IF(ISNUMBER(D23), D23-'Ianca | 21112024'!D23, ""), "")</f>
        <v>-1</v>
      </c>
      <c r="E45" s="51">
        <f>IF(E23&lt;&gt;"", IF(ISNUMBER(E23), E23-'Ianca | 21112024'!E23, ""), "")</f>
        <v>0</v>
      </c>
      <c r="F45" s="51">
        <f>IF(F23&lt;&gt;"", IF(ISNUMBER(F23), F23-'Ianca | 21112024'!F23, ""), "")</f>
        <v>0</v>
      </c>
      <c r="G45" s="51" t="str">
        <f>IF(G23&lt;&gt;"", IF(ISNUMBER(G23), G23-'Ianca | 21112024'!G23, ""), "")</f>
        <v/>
      </c>
    </row>
    <row r="46">
      <c r="B46" s="50" t="s">
        <v>14</v>
      </c>
      <c r="C46" s="51" t="str">
        <f>IF(C24&lt;&gt;"", IF(ISNUMBER(C24), C24-'Ianca | 21112024'!C24, ""), "")</f>
        <v/>
      </c>
    </row>
    <row r="47">
      <c r="B47" s="50" t="s">
        <v>13</v>
      </c>
      <c r="C47" s="51" t="str">
        <f>IF(C25&lt;&gt;"", IF(ISNUMBER(C25), C25-'Ianca | 21112024'!C25, ""), "")</f>
        <v/>
      </c>
    </row>
    <row r="49">
      <c r="D49" s="38"/>
      <c r="E49" s="38"/>
      <c r="F49" s="38"/>
    </row>
    <row r="50">
      <c r="D50" s="38"/>
      <c r="E50" s="38"/>
      <c r="F50" s="38"/>
    </row>
  </sheetData>
  <mergeCells count="12">
    <mergeCell ref="B31:G32"/>
    <mergeCell ref="B33:B34"/>
    <mergeCell ref="C33:D33"/>
    <mergeCell ref="E33:F33"/>
    <mergeCell ref="G33:G34"/>
    <mergeCell ref="B1:G2"/>
    <mergeCell ref="B9:G10"/>
    <mergeCell ref="B11:B12"/>
    <mergeCell ref="C11:D11"/>
    <mergeCell ref="E11:F11"/>
    <mergeCell ref="G11:G12"/>
    <mergeCell ref="B27:G28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printOptions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45662.0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52</v>
      </c>
      <c r="C6" s="18" t="s">
        <v>53</v>
      </c>
      <c r="D6" s="20">
        <v>27.0</v>
      </c>
      <c r="E6" s="54">
        <v>59.0</v>
      </c>
      <c r="F6" s="55">
        <v>167.0</v>
      </c>
      <c r="G6" s="21">
        <v>35723.0</v>
      </c>
      <c r="H6" s="22" t="s">
        <v>54</v>
      </c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/>
      <c r="D13" s="56"/>
      <c r="E13" s="56"/>
      <c r="F13" s="56"/>
      <c r="G13" s="57"/>
    </row>
    <row r="14">
      <c r="B14" s="29" t="s">
        <v>28</v>
      </c>
      <c r="C14" s="56"/>
      <c r="D14" s="56"/>
      <c r="E14" s="56"/>
      <c r="F14" s="56"/>
      <c r="G14" s="57"/>
    </row>
    <row r="15">
      <c r="B15" s="29" t="s">
        <v>29</v>
      </c>
      <c r="C15" s="31"/>
      <c r="D15" s="31"/>
      <c r="E15" s="31"/>
      <c r="F15" s="31"/>
      <c r="G15" s="56"/>
    </row>
    <row r="16">
      <c r="B16" s="29" t="s">
        <v>30</v>
      </c>
      <c r="C16" s="31"/>
      <c r="D16" s="31"/>
      <c r="E16" s="31"/>
      <c r="F16" s="31"/>
      <c r="G16" s="56"/>
      <c r="M16" s="58"/>
    </row>
    <row r="17">
      <c r="B17" s="29" t="s">
        <v>31</v>
      </c>
      <c r="C17" s="31"/>
      <c r="D17" s="31"/>
      <c r="E17" s="31"/>
      <c r="F17" s="31"/>
      <c r="G17" s="56">
        <v>71.0</v>
      </c>
    </row>
    <row r="18">
      <c r="B18" s="29" t="s">
        <v>32</v>
      </c>
      <c r="C18" s="31"/>
      <c r="D18" s="31"/>
      <c r="E18" s="31"/>
      <c r="F18" s="31"/>
      <c r="G18" s="56">
        <v>73.0</v>
      </c>
    </row>
    <row r="19">
      <c r="B19" s="29" t="s">
        <v>36</v>
      </c>
      <c r="C19" s="31"/>
      <c r="D19" s="31"/>
      <c r="E19" s="31"/>
      <c r="F19" s="31"/>
      <c r="G19" s="56"/>
    </row>
    <row r="20">
      <c r="B20" s="29" t="s">
        <v>37</v>
      </c>
      <c r="C20" s="56"/>
      <c r="D20" s="56"/>
      <c r="E20" s="56"/>
      <c r="F20" s="56"/>
      <c r="G20" s="57"/>
    </row>
    <row r="21">
      <c r="B21" s="29" t="s">
        <v>38</v>
      </c>
      <c r="C21" s="56">
        <v>52.0</v>
      </c>
      <c r="D21" s="56"/>
      <c r="E21" s="56">
        <v>52.0</v>
      </c>
      <c r="F21" s="56"/>
      <c r="G21" s="57"/>
    </row>
    <row r="22">
      <c r="B22" s="29" t="s">
        <v>39</v>
      </c>
      <c r="C22" s="56"/>
      <c r="D22" s="56"/>
      <c r="E22" s="56"/>
      <c r="F22" s="56"/>
      <c r="G22" s="57"/>
    </row>
    <row r="23">
      <c r="B23" s="29" t="s">
        <v>40</v>
      </c>
      <c r="C23" s="56"/>
      <c r="D23" s="56"/>
      <c r="E23" s="56"/>
      <c r="F23" s="56"/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21.1552942</v>
      </c>
      <c r="K28" s="36">
        <f>66+(13.8*E6)+(5*F6)-(6.8*D6)</f>
        <v>1531.6</v>
      </c>
      <c r="L28" s="37"/>
    </row>
    <row r="31">
      <c r="B31" s="44" t="s">
        <v>55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 t="str">
        <f>IF(C13&lt;&gt;"", IF(ISNUMBER(C13), C13-'Ianca | 21112024'!C13, ""), "")</f>
        <v/>
      </c>
      <c r="D35" s="51" t="str">
        <f>IF(D13&lt;&gt;"", IF(ISNUMBER(D13), D13-'Ianca | 21112024'!D13, ""), "")</f>
        <v/>
      </c>
      <c r="E35" s="51" t="str">
        <f>IF(E13&lt;&gt;"", IF(ISNUMBER(E13), E13-'Ianca | 21112024'!E13, ""), "")</f>
        <v/>
      </c>
      <c r="F35" s="51" t="str">
        <f>IF(F13&lt;&gt;"", IF(ISNUMBER(F13), F13-'Ianca | 21112024'!F13, ""), "")</f>
        <v/>
      </c>
      <c r="G35" s="51" t="str">
        <f>IF(G13&lt;&gt;"", IF(ISNUMBER(G13), G13-'Ianca | 21112024'!G13, ""), "")</f>
        <v/>
      </c>
      <c r="I35" s="49"/>
      <c r="J35" s="49"/>
      <c r="K35" s="49"/>
      <c r="L35" s="49"/>
    </row>
    <row r="36">
      <c r="B36" s="50" t="s">
        <v>28</v>
      </c>
      <c r="C36" s="51" t="str">
        <f>IF(C14&lt;&gt;"", IF(ISNUMBER(C14), C14-'Ianca | 21112024'!C14, ""), "")</f>
        <v/>
      </c>
      <c r="D36" s="51" t="str">
        <f>IF(D14&lt;&gt;"", IF(ISNUMBER(D14), D14-'Ianca | 21112024'!D14, ""), "")</f>
        <v/>
      </c>
      <c r="E36" s="51" t="str">
        <f>IF(E14&lt;&gt;"", IF(ISNUMBER(E14), E14-'Ianca | 21112024'!E14, ""), "")</f>
        <v/>
      </c>
      <c r="F36" s="51" t="str">
        <f>IF(F14&lt;&gt;"", IF(ISNUMBER(F14), F14-'Ianca | 21112024'!F14, ""), "")</f>
        <v/>
      </c>
      <c r="G36" s="51" t="str">
        <f>IF(G14&lt;&gt;"", IF(ISNUMBER(G14), G14-'Ianca | 21112024'!G14, ""), "")</f>
        <v/>
      </c>
      <c r="I36" s="49"/>
      <c r="J36" s="49"/>
      <c r="K36" s="49"/>
      <c r="L36" s="49"/>
    </row>
    <row r="37">
      <c r="B37" s="50" t="s">
        <v>29</v>
      </c>
      <c r="C37" s="51" t="str">
        <f>IF(C15&lt;&gt;"", IF(ISNUMBER(C15), C15-'Ianca | 21112024'!C15, ""), "")</f>
        <v/>
      </c>
      <c r="D37" s="51" t="str">
        <f>IF(D15&lt;&gt;"", IF(ISNUMBER(D15), D15-'Ianca | 21112024'!D15, ""), "")</f>
        <v/>
      </c>
      <c r="E37" s="51" t="str">
        <f>IF(E15&lt;&gt;"", IF(ISNUMBER(E15), E15-'Ianca | 21112024'!E15, ""), "")</f>
        <v/>
      </c>
      <c r="F37" s="51" t="str">
        <f>IF(F15&lt;&gt;"", IF(ISNUMBER(F15), F15-'Ianca | 21112024'!F15, ""), "")</f>
        <v/>
      </c>
      <c r="G37" s="51" t="str">
        <f>IF(G15&lt;&gt;"", IF(ISNUMBER(G15), G15-'Ianca | 21112024'!G15, ""), "")</f>
        <v/>
      </c>
      <c r="I37" s="59"/>
      <c r="J37" s="59"/>
      <c r="K37" s="59"/>
      <c r="L37" s="59"/>
    </row>
    <row r="38">
      <c r="B38" s="50" t="s">
        <v>30</v>
      </c>
      <c r="C38" s="51" t="str">
        <f>IF(C16&lt;&gt;"", IF(ISNUMBER(C16), C16-'Ianca | 21112024'!C16, ""), "")</f>
        <v/>
      </c>
      <c r="D38" s="51" t="str">
        <f>IF(D16&lt;&gt;"", IF(ISNUMBER(D16), D16-'Ianca | 21112024'!D16, ""), "")</f>
        <v/>
      </c>
      <c r="E38" s="51" t="str">
        <f>IF(E16&lt;&gt;"", IF(ISNUMBER(E16), E16-'Ianca | 21112024'!E16, ""), "")</f>
        <v/>
      </c>
      <c r="F38" s="51" t="str">
        <f>IF(F16&lt;&gt;"", IF(ISNUMBER(F16), F16-'Ianca | 21112024'!F16, ""), "")</f>
        <v/>
      </c>
      <c r="G38" s="51" t="str">
        <f>IF(G16&lt;&gt;"", IF(ISNUMBER(G16), G16-'Ianca | 21112024'!G16, ""), "")</f>
        <v/>
      </c>
      <c r="I38" s="59"/>
      <c r="J38" s="59"/>
      <c r="K38" s="59"/>
      <c r="L38" s="59"/>
    </row>
    <row r="39">
      <c r="B39" s="50" t="s">
        <v>31</v>
      </c>
      <c r="C39" s="51" t="str">
        <f>IF(C17&lt;&gt;"", IF(ISNUMBER(C17), C17-'Ianca | 21112024'!C17, ""), "")</f>
        <v/>
      </c>
      <c r="D39" s="51" t="str">
        <f>IF(D17&lt;&gt;"", IF(ISNUMBER(D17), D17-'Ianca | 21112024'!D17, ""), "")</f>
        <v/>
      </c>
      <c r="E39" s="51" t="str">
        <f>IF(E17&lt;&gt;"", IF(ISNUMBER(E17), E17-'Ianca | 21112024'!E17, ""), "")</f>
        <v/>
      </c>
      <c r="F39" s="51" t="str">
        <f>IF(F17&lt;&gt;"", IF(ISNUMBER(F17), F17-'Ianca | 21112024'!F17, ""), "")</f>
        <v/>
      </c>
      <c r="G39" s="51">
        <f>IF(G17&lt;&gt;"", IF(ISNUMBER(G17), G17-'Ianca | 21112024'!G17, ""), "")</f>
        <v>2</v>
      </c>
      <c r="I39" s="59"/>
      <c r="J39" s="59"/>
      <c r="K39" s="59"/>
      <c r="L39" s="59"/>
    </row>
    <row r="40">
      <c r="B40" s="50" t="s">
        <v>32</v>
      </c>
      <c r="C40" s="51" t="str">
        <f>IF(C18&lt;&gt;"", IF(ISNUMBER(C18), C18-'Ianca | 21112024'!C18, ""), "")</f>
        <v/>
      </c>
      <c r="D40" s="51" t="str">
        <f>IF(D18&lt;&gt;"", IF(ISNUMBER(D18), D18-'Ianca | 21112024'!D18, ""), "")</f>
        <v/>
      </c>
      <c r="E40" s="51" t="str">
        <f>IF(E18&lt;&gt;"", IF(ISNUMBER(E18), E18-'Ianca | 21112024'!E18, ""), "")</f>
        <v/>
      </c>
      <c r="F40" s="51" t="str">
        <f>IF(F18&lt;&gt;"", IF(ISNUMBER(F18), F18-'Ianca | 21112024'!F18, ""), "")</f>
        <v/>
      </c>
      <c r="G40" s="51">
        <f>IF(G18&lt;&gt;"", IF(ISNUMBER(G18), G18-'Ianca | 21112024'!G18, ""), "")</f>
        <v>4</v>
      </c>
      <c r="I40" s="59"/>
      <c r="J40" s="59"/>
      <c r="K40" s="59"/>
      <c r="L40" s="59"/>
    </row>
    <row r="41">
      <c r="B41" s="50" t="s">
        <v>36</v>
      </c>
      <c r="C41" s="51" t="str">
        <f>IF(C19&lt;&gt;"", IF(ISNUMBER(C19), C19-'Ianca | 21112024'!C19, ""), "")</f>
        <v/>
      </c>
      <c r="D41" s="51" t="str">
        <f>IF(D19&lt;&gt;"", IF(ISNUMBER(D19), D19-'Ianca | 21112024'!D19, ""), "")</f>
        <v/>
      </c>
      <c r="E41" s="51" t="str">
        <f>IF(E19&lt;&gt;"", IF(ISNUMBER(E19), E19-'Ianca | 21112024'!E19, ""), "")</f>
        <v/>
      </c>
      <c r="F41" s="51" t="str">
        <f>IF(F19&lt;&gt;"", IF(ISNUMBER(F19), F19-'Ianca | 21112024'!F19, ""), "")</f>
        <v/>
      </c>
      <c r="G41" s="51" t="str">
        <f>IF(G19&lt;&gt;"", IF(ISNUMBER(G19), G19-'Ianca | 21112024'!G19, ""), "")</f>
        <v/>
      </c>
    </row>
    <row r="42">
      <c r="B42" s="50" t="s">
        <v>37</v>
      </c>
      <c r="C42" s="51" t="str">
        <f>IF(C20&lt;&gt;"", IF(ISNUMBER(C20), C20-'Ianca | 21112024'!C20, ""), "")</f>
        <v/>
      </c>
      <c r="D42" s="51" t="str">
        <f>IF(D20&lt;&gt;"", IF(ISNUMBER(D20), D20-'Ianca | 21112024'!D20, ""), "")</f>
        <v/>
      </c>
      <c r="E42" s="51" t="str">
        <f>IF(E20&lt;&gt;"", IF(ISNUMBER(E20), E20-'Ianca | 21112024'!E20, ""), "")</f>
        <v/>
      </c>
      <c r="F42" s="51" t="str">
        <f>IF(F20&lt;&gt;"", IF(ISNUMBER(F20), F20-'Ianca | 21112024'!F20, ""), "")</f>
        <v/>
      </c>
      <c r="G42" s="51" t="str">
        <f>IF(G20&lt;&gt;"", IF(ISNUMBER(G20), G20-'Ianca | 21112024'!G20, ""), "")</f>
        <v/>
      </c>
    </row>
    <row r="43">
      <c r="B43" s="50" t="s">
        <v>38</v>
      </c>
      <c r="C43" s="51">
        <f>IF(C21&lt;&gt;"", IF(ISNUMBER(C21), C21-'Ianca | 21112024'!C21, ""), "")</f>
        <v>-4</v>
      </c>
      <c r="D43" s="51" t="str">
        <f>IF(D21&lt;&gt;"", IF(ISNUMBER(D21), D21-'Ianca | 21112024'!D21, ""), "")</f>
        <v/>
      </c>
      <c r="E43" s="51">
        <f>IF(E21&lt;&gt;"", IF(ISNUMBER(E21), E21-'Ianca | 21112024'!E21, ""), "")</f>
        <v>-5</v>
      </c>
      <c r="F43" s="51" t="str">
        <f>IF(F21&lt;&gt;"", IF(ISNUMBER(F21), F21-'Ianca | 21112024'!F21, ""), "")</f>
        <v/>
      </c>
      <c r="G43" s="51" t="str">
        <f>IF(G21&lt;&gt;"", IF(ISNUMBER(G21), G21-'Ianca | 21112024'!G21, ""), "")</f>
        <v/>
      </c>
    </row>
    <row r="44">
      <c r="B44" s="50" t="s">
        <v>39</v>
      </c>
      <c r="C44" s="51" t="str">
        <f>IF(C22&lt;&gt;"", IF(ISNUMBER(C22), C22-'Ianca | 21112024'!C22, ""), "")</f>
        <v/>
      </c>
      <c r="D44" s="51" t="str">
        <f>IF(D22&lt;&gt;"", IF(ISNUMBER(D22), D22-'Ianca | 21112024'!D22, ""), "")</f>
        <v/>
      </c>
      <c r="E44" s="51" t="str">
        <f>IF(E22&lt;&gt;"", IF(ISNUMBER(E22), E22-'Ianca | 21112024'!E22, ""), "")</f>
        <v/>
      </c>
      <c r="F44" s="51" t="str">
        <f>IF(F22&lt;&gt;"", IF(ISNUMBER(F22), F22-'Ianca | 21112024'!F22, ""), "")</f>
        <v/>
      </c>
      <c r="G44" s="51" t="str">
        <f>IF(G22&lt;&gt;"", IF(ISNUMBER(G22), G22-'Ianca | 21112024'!G22, ""), "")</f>
        <v/>
      </c>
    </row>
    <row r="45">
      <c r="B45" s="50" t="s">
        <v>40</v>
      </c>
      <c r="C45" s="51" t="str">
        <f>IF(C23&lt;&gt;"", IF(ISNUMBER(C23), C23-'Ianca | 21112024'!C23, ""), "")</f>
        <v/>
      </c>
      <c r="D45" s="51" t="str">
        <f>IF(D23&lt;&gt;"", IF(ISNUMBER(D23), D23-'Ianca | 21112024'!D23, ""), "")</f>
        <v/>
      </c>
      <c r="E45" s="51" t="str">
        <f>IF(E23&lt;&gt;"", IF(ISNUMBER(E23), E23-'Ianca | 21112024'!E23, ""), "")</f>
        <v/>
      </c>
      <c r="F45" s="51" t="str">
        <f>IF(F23&lt;&gt;"", IF(ISNUMBER(F23), F23-'Ianca | 21112024'!F23, ""), "")</f>
        <v/>
      </c>
      <c r="G45" s="51" t="str">
        <f>IF(G23&lt;&gt;"", IF(ISNUMBER(G23), G23-'Ianca | 21112024'!G23, ""), "")</f>
        <v/>
      </c>
    </row>
    <row r="46">
      <c r="B46" s="50" t="s">
        <v>14</v>
      </c>
      <c r="C46" s="51" t="str">
        <f>IF(C24&lt;&gt;"", IF(ISNUMBER(C24), C24-'Ianca | 21112024'!C24, ""), "")</f>
        <v/>
      </c>
    </row>
    <row r="47">
      <c r="B47" s="50" t="s">
        <v>13</v>
      </c>
      <c r="C47" s="51" t="str">
        <f>IF(C25&lt;&gt;"", IF(ISNUMBER(C25), C25-'Ianca | 21112024'!C25, ""), "")</f>
        <v/>
      </c>
    </row>
    <row r="49">
      <c r="D49" s="38"/>
      <c r="E49" s="38"/>
      <c r="F49" s="38"/>
    </row>
    <row r="50">
      <c r="D50" s="38"/>
      <c r="E50" s="38"/>
      <c r="F50" s="38"/>
    </row>
  </sheetData>
  <mergeCells count="12">
    <mergeCell ref="B31:G32"/>
    <mergeCell ref="B33:B34"/>
    <mergeCell ref="C33:D33"/>
    <mergeCell ref="E33:F33"/>
    <mergeCell ref="G33:G34"/>
    <mergeCell ref="B1:G2"/>
    <mergeCell ref="B9:G10"/>
    <mergeCell ref="B11:B12"/>
    <mergeCell ref="C11:D11"/>
    <mergeCell ref="E11:F11"/>
    <mergeCell ref="G11:G12"/>
    <mergeCell ref="B27:G28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printOptions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45647.0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17</v>
      </c>
      <c r="C6" s="18" t="s">
        <v>18</v>
      </c>
      <c r="D6" s="20">
        <v>23.0</v>
      </c>
      <c r="E6" s="54">
        <v>95.0</v>
      </c>
      <c r="F6" s="55">
        <v>184.0</v>
      </c>
      <c r="G6" s="21">
        <v>37160.0</v>
      </c>
      <c r="H6" s="22" t="s">
        <v>19</v>
      </c>
      <c r="J6" s="61"/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>
        <v>33.0</v>
      </c>
      <c r="D13" s="56">
        <v>38.0</v>
      </c>
      <c r="E13" s="56">
        <v>33.0</v>
      </c>
      <c r="F13" s="56">
        <v>38.0</v>
      </c>
      <c r="G13" s="57"/>
    </row>
    <row r="14">
      <c r="B14" s="29" t="s">
        <v>28</v>
      </c>
      <c r="C14" s="56">
        <v>25.0</v>
      </c>
      <c r="D14" s="56">
        <v>25.0</v>
      </c>
      <c r="E14" s="56">
        <v>25.0</v>
      </c>
      <c r="F14" s="56">
        <v>25.0</v>
      </c>
      <c r="G14" s="57"/>
    </row>
    <row r="15">
      <c r="B15" s="29" t="s">
        <v>29</v>
      </c>
      <c r="C15" s="31" t="s">
        <v>27</v>
      </c>
      <c r="D15" s="31" t="s">
        <v>27</v>
      </c>
      <c r="E15" s="31" t="s">
        <v>27</v>
      </c>
      <c r="F15" s="31" t="s">
        <v>27</v>
      </c>
      <c r="G15" s="56">
        <v>125.0</v>
      </c>
    </row>
    <row r="16">
      <c r="B16" s="29" t="s">
        <v>30</v>
      </c>
      <c r="C16" s="31" t="s">
        <v>27</v>
      </c>
      <c r="D16" s="31" t="s">
        <v>27</v>
      </c>
      <c r="E16" s="31" t="s">
        <v>27</v>
      </c>
      <c r="F16" s="31" t="s">
        <v>27</v>
      </c>
      <c r="G16" s="56">
        <v>103.0</v>
      </c>
    </row>
    <row r="17">
      <c r="B17" s="29" t="s">
        <v>31</v>
      </c>
      <c r="C17" s="31" t="s">
        <v>27</v>
      </c>
      <c r="D17" s="31" t="s">
        <v>27</v>
      </c>
      <c r="E17" s="31" t="s">
        <v>27</v>
      </c>
      <c r="F17" s="31" t="s">
        <v>27</v>
      </c>
      <c r="G17" s="56">
        <v>98.0</v>
      </c>
    </row>
    <row r="18">
      <c r="B18" s="29" t="s">
        <v>32</v>
      </c>
      <c r="C18" s="31" t="s">
        <v>27</v>
      </c>
      <c r="D18" s="31" t="s">
        <v>27</v>
      </c>
      <c r="E18" s="31" t="s">
        <v>27</v>
      </c>
      <c r="F18" s="31" t="s">
        <v>27</v>
      </c>
      <c r="G18" s="56">
        <v>98.0</v>
      </c>
    </row>
    <row r="19">
      <c r="B19" s="29" t="s">
        <v>36</v>
      </c>
      <c r="C19" s="31" t="s">
        <v>27</v>
      </c>
      <c r="D19" s="31" t="s">
        <v>27</v>
      </c>
      <c r="E19" s="31" t="s">
        <v>27</v>
      </c>
      <c r="F19" s="31" t="s">
        <v>27</v>
      </c>
      <c r="G19" s="56">
        <v>107.0</v>
      </c>
    </row>
    <row r="20">
      <c r="B20" s="29" t="s">
        <v>37</v>
      </c>
      <c r="C20" s="56">
        <v>66.0</v>
      </c>
      <c r="D20" s="56">
        <v>67.0</v>
      </c>
      <c r="E20" s="56">
        <v>66.0</v>
      </c>
      <c r="F20" s="56">
        <v>67.0</v>
      </c>
      <c r="G20" s="57"/>
    </row>
    <row r="21">
      <c r="B21" s="29" t="s">
        <v>38</v>
      </c>
      <c r="C21" s="56">
        <v>62.0</v>
      </c>
      <c r="D21" s="56">
        <v>62.0</v>
      </c>
      <c r="E21" s="56">
        <v>62.0</v>
      </c>
      <c r="F21" s="56">
        <v>62.0</v>
      </c>
      <c r="G21" s="57"/>
    </row>
    <row r="22">
      <c r="B22" s="29" t="s">
        <v>39</v>
      </c>
      <c r="C22" s="56">
        <v>49.0</v>
      </c>
      <c r="D22" s="56">
        <v>49.0</v>
      </c>
      <c r="E22" s="56">
        <v>49.0</v>
      </c>
      <c r="F22" s="56">
        <v>49.0</v>
      </c>
      <c r="G22" s="57"/>
    </row>
    <row r="23">
      <c r="B23" s="29" t="s">
        <v>40</v>
      </c>
      <c r="C23" s="56">
        <v>39.0</v>
      </c>
      <c r="D23" s="56">
        <v>39.0</v>
      </c>
      <c r="E23" s="56">
        <v>40.0</v>
      </c>
      <c r="F23" s="56">
        <v>40.0</v>
      </c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62"/>
      <c r="K25" s="62"/>
      <c r="L25" s="62"/>
      <c r="M25" s="62"/>
      <c r="N25" s="62"/>
      <c r="O25" s="6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28.0600189</v>
      </c>
      <c r="K28" s="36">
        <f>66+(13.8*E6)+(5*F6)-(6.8*D6)</f>
        <v>2140.6</v>
      </c>
      <c r="L28" s="37"/>
    </row>
    <row r="31">
      <c r="B31" s="44" t="s">
        <v>51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/>
      <c r="D35" s="51"/>
      <c r="E35" s="51"/>
      <c r="F35" s="51"/>
      <c r="G35" s="51"/>
      <c r="I35" s="49"/>
      <c r="J35" s="49"/>
      <c r="K35" s="49"/>
      <c r="L35" s="49"/>
    </row>
    <row r="36">
      <c r="B36" s="50" t="s">
        <v>28</v>
      </c>
      <c r="C36" s="51"/>
      <c r="D36" s="51"/>
      <c r="E36" s="51"/>
      <c r="F36" s="51"/>
      <c r="G36" s="51"/>
      <c r="I36" s="49"/>
      <c r="J36" s="49"/>
      <c r="K36" s="49"/>
      <c r="L36" s="49"/>
    </row>
    <row r="37">
      <c r="B37" s="50" t="s">
        <v>29</v>
      </c>
      <c r="C37" s="51"/>
      <c r="D37" s="51"/>
      <c r="E37" s="51"/>
      <c r="F37" s="51"/>
      <c r="G37" s="51"/>
      <c r="I37" s="59"/>
      <c r="J37" s="59"/>
      <c r="K37" s="59"/>
      <c r="L37" s="59"/>
    </row>
    <row r="38">
      <c r="B38" s="50" t="s">
        <v>30</v>
      </c>
      <c r="C38" s="51"/>
      <c r="D38" s="51"/>
      <c r="E38" s="51"/>
      <c r="F38" s="51"/>
      <c r="G38" s="51"/>
      <c r="I38" s="59"/>
      <c r="J38" s="59"/>
      <c r="K38" s="59"/>
      <c r="L38" s="59"/>
    </row>
    <row r="39">
      <c r="B39" s="50" t="s">
        <v>31</v>
      </c>
      <c r="C39" s="51"/>
      <c r="D39" s="51"/>
      <c r="E39" s="51"/>
      <c r="F39" s="51"/>
      <c r="G39" s="51"/>
      <c r="I39" s="59"/>
      <c r="J39" s="59"/>
      <c r="K39" s="59"/>
      <c r="L39" s="59"/>
    </row>
    <row r="40">
      <c r="B40" s="50" t="s">
        <v>32</v>
      </c>
      <c r="C40" s="51"/>
      <c r="D40" s="51"/>
      <c r="E40" s="51"/>
      <c r="F40" s="51"/>
      <c r="G40" s="51"/>
      <c r="I40" s="59"/>
      <c r="J40" s="59"/>
      <c r="K40" s="59"/>
      <c r="L40" s="59"/>
    </row>
    <row r="41">
      <c r="B41" s="50" t="s">
        <v>36</v>
      </c>
      <c r="C41" s="51"/>
      <c r="D41" s="51"/>
      <c r="E41" s="51"/>
      <c r="F41" s="51"/>
      <c r="G41" s="51"/>
    </row>
    <row r="42">
      <c r="B42" s="50" t="s">
        <v>37</v>
      </c>
      <c r="C42" s="51"/>
      <c r="D42" s="51"/>
      <c r="E42" s="51"/>
      <c r="F42" s="51"/>
      <c r="G42" s="51"/>
    </row>
    <row r="43">
      <c r="B43" s="50" t="s">
        <v>38</v>
      </c>
      <c r="C43" s="51"/>
      <c r="D43" s="51"/>
      <c r="E43" s="51"/>
      <c r="F43" s="51"/>
      <c r="G43" s="51"/>
    </row>
    <row r="44">
      <c r="B44" s="50" t="s">
        <v>39</v>
      </c>
      <c r="C44" s="51"/>
      <c r="D44" s="51"/>
      <c r="E44" s="51"/>
      <c r="F44" s="51"/>
      <c r="G44" s="51"/>
    </row>
    <row r="45">
      <c r="B45" s="50" t="s">
        <v>40</v>
      </c>
      <c r="C45" s="51"/>
      <c r="D45" s="51"/>
      <c r="E45" s="51"/>
      <c r="F45" s="51"/>
      <c r="G45" s="51"/>
    </row>
    <row r="46">
      <c r="B46" s="50" t="s">
        <v>14</v>
      </c>
      <c r="C46" s="52"/>
    </row>
    <row r="47">
      <c r="B47" s="50" t="s">
        <v>13</v>
      </c>
      <c r="C47" s="52"/>
    </row>
    <row r="49">
      <c r="D49" s="38"/>
      <c r="E49" s="38"/>
      <c r="F49" s="38"/>
    </row>
    <row r="50">
      <c r="D50" s="38"/>
      <c r="E50" s="38"/>
      <c r="F50" s="38"/>
    </row>
  </sheetData>
  <mergeCells count="13">
    <mergeCell ref="B27:G28"/>
    <mergeCell ref="B31:G32"/>
    <mergeCell ref="B33:B34"/>
    <mergeCell ref="C33:D33"/>
    <mergeCell ref="E33:F33"/>
    <mergeCell ref="G33:G34"/>
    <mergeCell ref="B1:G2"/>
    <mergeCell ref="J6:O25"/>
    <mergeCell ref="B9:G10"/>
    <mergeCell ref="B11:B12"/>
    <mergeCell ref="C11:D11"/>
    <mergeCell ref="E11:F11"/>
    <mergeCell ref="G11:G12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45647.0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17</v>
      </c>
      <c r="C6" s="18" t="s">
        <v>18</v>
      </c>
      <c r="D6" s="20">
        <v>23.0</v>
      </c>
      <c r="E6" s="54">
        <v>95.0</v>
      </c>
      <c r="F6" s="55">
        <v>184.0</v>
      </c>
      <c r="G6" s="21">
        <v>37160.0</v>
      </c>
      <c r="H6" s="22" t="s">
        <v>19</v>
      </c>
      <c r="J6" s="61"/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>
        <v>33.0</v>
      </c>
      <c r="D13" s="56">
        <v>37.0</v>
      </c>
      <c r="E13" s="56">
        <v>32.0</v>
      </c>
      <c r="F13" s="56">
        <v>37.0</v>
      </c>
      <c r="G13" s="57"/>
    </row>
    <row r="14">
      <c r="B14" s="29" t="s">
        <v>28</v>
      </c>
      <c r="C14" s="56">
        <v>26.0</v>
      </c>
      <c r="D14" s="56">
        <v>26.0</v>
      </c>
      <c r="E14" s="56">
        <v>27.0</v>
      </c>
      <c r="F14" s="56">
        <v>27.0</v>
      </c>
      <c r="G14" s="57"/>
    </row>
    <row r="15">
      <c r="B15" s="29" t="s">
        <v>29</v>
      </c>
      <c r="C15" s="31"/>
      <c r="D15" s="31"/>
      <c r="E15" s="31"/>
      <c r="F15" s="31"/>
      <c r="G15" s="56"/>
    </row>
    <row r="16">
      <c r="B16" s="29" t="s">
        <v>30</v>
      </c>
      <c r="C16" s="31"/>
      <c r="D16" s="31"/>
      <c r="E16" s="31"/>
      <c r="F16" s="31"/>
      <c r="G16" s="56">
        <v>104.0</v>
      </c>
    </row>
    <row r="17">
      <c r="B17" s="29" t="s">
        <v>31</v>
      </c>
      <c r="C17" s="31"/>
      <c r="D17" s="31"/>
      <c r="E17" s="31"/>
      <c r="F17" s="31"/>
      <c r="G17" s="56">
        <v>93.0</v>
      </c>
    </row>
    <row r="18">
      <c r="B18" s="29" t="s">
        <v>32</v>
      </c>
      <c r="C18" s="31"/>
      <c r="D18" s="31"/>
      <c r="E18" s="31"/>
      <c r="F18" s="31"/>
      <c r="G18" s="56">
        <v>94.0</v>
      </c>
    </row>
    <row r="19">
      <c r="B19" s="29" t="s">
        <v>36</v>
      </c>
      <c r="C19" s="31"/>
      <c r="D19" s="31"/>
      <c r="E19" s="31"/>
      <c r="F19" s="31"/>
      <c r="G19" s="56">
        <v>103.0</v>
      </c>
    </row>
    <row r="20">
      <c r="B20" s="29" t="s">
        <v>37</v>
      </c>
      <c r="C20" s="56">
        <v>64.0</v>
      </c>
      <c r="D20" s="56">
        <v>64.0</v>
      </c>
      <c r="E20" s="56">
        <v>64.0</v>
      </c>
      <c r="F20" s="56">
        <v>64.0</v>
      </c>
      <c r="G20" s="57"/>
    </row>
    <row r="21">
      <c r="B21" s="29" t="s">
        <v>38</v>
      </c>
      <c r="C21" s="56">
        <v>61.0</v>
      </c>
      <c r="D21" s="56">
        <v>61.0</v>
      </c>
      <c r="E21" s="56">
        <v>61.0</v>
      </c>
      <c r="F21" s="56">
        <v>61.0</v>
      </c>
      <c r="G21" s="57"/>
    </row>
    <row r="22">
      <c r="B22" s="29" t="s">
        <v>39</v>
      </c>
      <c r="C22" s="56">
        <v>50.0</v>
      </c>
      <c r="D22" s="56">
        <v>51.0</v>
      </c>
      <c r="E22" s="56">
        <v>51.0</v>
      </c>
      <c r="F22" s="56">
        <v>51.0</v>
      </c>
      <c r="G22" s="57"/>
    </row>
    <row r="23">
      <c r="B23" s="29" t="s">
        <v>40</v>
      </c>
      <c r="C23" s="56">
        <v>39.0</v>
      </c>
      <c r="D23" s="56">
        <v>39.0</v>
      </c>
      <c r="E23" s="56">
        <v>40.0</v>
      </c>
      <c r="F23" s="56">
        <v>40.0</v>
      </c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62"/>
      <c r="K25" s="62"/>
      <c r="L25" s="62"/>
      <c r="M25" s="62"/>
      <c r="N25" s="62"/>
      <c r="O25" s="6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28.0600189</v>
      </c>
      <c r="K28" s="36">
        <f>66+(13.8*E6)+(5*F6)-(6.8*D6)</f>
        <v>2140.6</v>
      </c>
      <c r="L28" s="37"/>
    </row>
    <row r="31">
      <c r="B31" s="44" t="s">
        <v>51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/>
      <c r="D35" s="51"/>
      <c r="E35" s="51"/>
      <c r="F35" s="51"/>
      <c r="G35" s="51"/>
      <c r="I35" s="49"/>
      <c r="J35" s="49"/>
      <c r="K35" s="49"/>
      <c r="L35" s="49"/>
    </row>
    <row r="36">
      <c r="B36" s="50" t="s">
        <v>28</v>
      </c>
      <c r="C36" s="51"/>
      <c r="D36" s="51"/>
      <c r="E36" s="51"/>
      <c r="F36" s="51"/>
      <c r="G36" s="51"/>
      <c r="I36" s="49"/>
      <c r="J36" s="49"/>
      <c r="K36" s="49"/>
      <c r="L36" s="49"/>
    </row>
    <row r="37">
      <c r="B37" s="50" t="s">
        <v>29</v>
      </c>
      <c r="C37" s="51"/>
      <c r="D37" s="51"/>
      <c r="E37" s="51"/>
      <c r="F37" s="51"/>
      <c r="G37" s="51"/>
      <c r="I37" s="59"/>
      <c r="J37" s="59"/>
      <c r="K37" s="59"/>
      <c r="L37" s="59"/>
    </row>
    <row r="38">
      <c r="B38" s="50" t="s">
        <v>30</v>
      </c>
      <c r="C38" s="51"/>
      <c r="D38" s="51"/>
      <c r="E38" s="51"/>
      <c r="F38" s="51"/>
      <c r="G38" s="51"/>
      <c r="I38" s="59"/>
      <c r="J38" s="59"/>
      <c r="K38" s="59"/>
      <c r="L38" s="59"/>
    </row>
    <row r="39">
      <c r="B39" s="50" t="s">
        <v>31</v>
      </c>
      <c r="C39" s="51"/>
      <c r="D39" s="51"/>
      <c r="E39" s="51"/>
      <c r="F39" s="51"/>
      <c r="G39" s="51"/>
      <c r="I39" s="59"/>
      <c r="J39" s="59"/>
      <c r="K39" s="59"/>
      <c r="L39" s="59"/>
    </row>
    <row r="40">
      <c r="B40" s="50" t="s">
        <v>32</v>
      </c>
      <c r="C40" s="51"/>
      <c r="D40" s="51"/>
      <c r="E40" s="51"/>
      <c r="F40" s="51"/>
      <c r="G40" s="51"/>
      <c r="I40" s="59"/>
      <c r="J40" s="59"/>
      <c r="K40" s="59"/>
      <c r="L40" s="59"/>
    </row>
    <row r="41">
      <c r="B41" s="50" t="s">
        <v>36</v>
      </c>
      <c r="C41" s="51"/>
      <c r="D41" s="51"/>
      <c r="E41" s="51"/>
      <c r="F41" s="51"/>
      <c r="G41" s="51"/>
    </row>
    <row r="42">
      <c r="B42" s="50" t="s">
        <v>37</v>
      </c>
      <c r="C42" s="51"/>
      <c r="D42" s="51"/>
      <c r="E42" s="51"/>
      <c r="F42" s="51"/>
      <c r="G42" s="51"/>
    </row>
    <row r="43">
      <c r="B43" s="50" t="s">
        <v>38</v>
      </c>
      <c r="C43" s="51"/>
      <c r="D43" s="51"/>
      <c r="E43" s="51"/>
      <c r="F43" s="51"/>
      <c r="G43" s="51"/>
    </row>
    <row r="44">
      <c r="B44" s="50" t="s">
        <v>39</v>
      </c>
      <c r="C44" s="51"/>
      <c r="D44" s="51"/>
      <c r="E44" s="51"/>
      <c r="F44" s="51"/>
      <c r="G44" s="51"/>
    </row>
    <row r="45">
      <c r="B45" s="50" t="s">
        <v>40</v>
      </c>
      <c r="C45" s="51"/>
      <c r="D45" s="51"/>
      <c r="E45" s="51"/>
      <c r="F45" s="51"/>
      <c r="G45" s="51"/>
    </row>
    <row r="46">
      <c r="B46" s="50" t="s">
        <v>14</v>
      </c>
      <c r="C46" s="52"/>
    </row>
    <row r="47">
      <c r="B47" s="50" t="s">
        <v>13</v>
      </c>
      <c r="C47" s="52"/>
    </row>
    <row r="49">
      <c r="D49" s="38"/>
      <c r="E49" s="38"/>
      <c r="F49" s="38"/>
    </row>
    <row r="50">
      <c r="D50" s="38"/>
      <c r="E50" s="38"/>
      <c r="F50" s="38"/>
    </row>
  </sheetData>
  <mergeCells count="13">
    <mergeCell ref="B27:G28"/>
    <mergeCell ref="B31:G32"/>
    <mergeCell ref="B33:B34"/>
    <mergeCell ref="C33:D33"/>
    <mergeCell ref="E33:F33"/>
    <mergeCell ref="G33:G34"/>
    <mergeCell ref="B1:G2"/>
    <mergeCell ref="J6:O25"/>
    <mergeCell ref="B9:G10"/>
    <mergeCell ref="B11:B12"/>
    <mergeCell ref="C11:D11"/>
    <mergeCell ref="E11:F11"/>
    <mergeCell ref="G11:G12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45647.0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17</v>
      </c>
      <c r="C6" s="18" t="s">
        <v>18</v>
      </c>
      <c r="D6" s="20">
        <v>23.0</v>
      </c>
      <c r="E6" s="54">
        <v>95.0</v>
      </c>
      <c r="F6" s="55">
        <v>184.0</v>
      </c>
      <c r="G6" s="21">
        <v>37160.0</v>
      </c>
      <c r="H6" s="22" t="s">
        <v>19</v>
      </c>
      <c r="J6" s="61"/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>
        <v>35.0</v>
      </c>
      <c r="D13" s="56">
        <v>38.0</v>
      </c>
      <c r="E13" s="56">
        <v>35.0</v>
      </c>
      <c r="F13" s="56">
        <v>38.0</v>
      </c>
      <c r="G13" s="57"/>
    </row>
    <row r="14">
      <c r="B14" s="29" t="s">
        <v>28</v>
      </c>
      <c r="C14" s="56"/>
      <c r="D14" s="56"/>
      <c r="E14" s="56"/>
      <c r="F14" s="56"/>
      <c r="G14" s="57"/>
    </row>
    <row r="15">
      <c r="B15" s="29" t="s">
        <v>29</v>
      </c>
      <c r="C15" s="31"/>
      <c r="D15" s="31"/>
      <c r="E15" s="31"/>
      <c r="F15" s="31"/>
      <c r="G15" s="56"/>
    </row>
    <row r="16">
      <c r="B16" s="29" t="s">
        <v>30</v>
      </c>
      <c r="C16" s="31"/>
      <c r="D16" s="31"/>
      <c r="E16" s="31"/>
      <c r="F16" s="31"/>
      <c r="G16" s="56">
        <v>106.0</v>
      </c>
    </row>
    <row r="17">
      <c r="B17" s="29" t="s">
        <v>31</v>
      </c>
      <c r="C17" s="31"/>
      <c r="D17" s="31"/>
      <c r="E17" s="31"/>
      <c r="F17" s="31"/>
      <c r="G17" s="56">
        <v>94.0</v>
      </c>
    </row>
    <row r="18">
      <c r="B18" s="29" t="s">
        <v>32</v>
      </c>
      <c r="C18" s="31"/>
      <c r="D18" s="31"/>
      <c r="E18" s="31"/>
      <c r="F18" s="31"/>
      <c r="G18" s="56">
        <v>99.0</v>
      </c>
    </row>
    <row r="19">
      <c r="B19" s="29" t="s">
        <v>36</v>
      </c>
      <c r="C19" s="31"/>
      <c r="D19" s="31"/>
      <c r="E19" s="31"/>
      <c r="F19" s="31"/>
      <c r="G19" s="56"/>
    </row>
    <row r="20">
      <c r="B20" s="29" t="s">
        <v>37</v>
      </c>
      <c r="C20" s="56"/>
      <c r="D20" s="56"/>
      <c r="E20" s="56"/>
      <c r="F20" s="56"/>
      <c r="G20" s="57"/>
    </row>
    <row r="21">
      <c r="B21" s="29" t="s">
        <v>38</v>
      </c>
      <c r="C21" s="56"/>
      <c r="D21" s="56"/>
      <c r="E21" s="56"/>
      <c r="F21" s="56"/>
      <c r="G21" s="57"/>
    </row>
    <row r="22">
      <c r="B22" s="29" t="s">
        <v>39</v>
      </c>
      <c r="C22" s="56"/>
      <c r="D22" s="56"/>
      <c r="E22" s="56"/>
      <c r="F22" s="56"/>
      <c r="G22" s="57"/>
    </row>
    <row r="23">
      <c r="B23" s="29" t="s">
        <v>40</v>
      </c>
      <c r="C23" s="56"/>
      <c r="D23" s="56"/>
      <c r="E23" s="56"/>
      <c r="F23" s="56"/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62"/>
      <c r="K25" s="62"/>
      <c r="L25" s="62"/>
      <c r="M25" s="62"/>
      <c r="N25" s="62"/>
      <c r="O25" s="6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28.0600189</v>
      </c>
      <c r="K28" s="36">
        <f>66+(13.8*E6)+(5*F6)-(6.8*D6)</f>
        <v>2140.6</v>
      </c>
      <c r="L28" s="37"/>
    </row>
    <row r="31">
      <c r="B31" s="44" t="s">
        <v>51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/>
      <c r="D35" s="51"/>
      <c r="E35" s="51"/>
      <c r="F35" s="51"/>
      <c r="G35" s="51"/>
      <c r="I35" s="49"/>
      <c r="J35" s="49"/>
      <c r="K35" s="49"/>
      <c r="L35" s="49"/>
    </row>
    <row r="36">
      <c r="B36" s="50" t="s">
        <v>28</v>
      </c>
      <c r="C36" s="51"/>
      <c r="D36" s="51"/>
      <c r="E36" s="51"/>
      <c r="F36" s="51"/>
      <c r="G36" s="51"/>
      <c r="I36" s="49"/>
      <c r="J36" s="49"/>
      <c r="K36" s="49"/>
      <c r="L36" s="49"/>
    </row>
    <row r="37">
      <c r="B37" s="50" t="s">
        <v>29</v>
      </c>
      <c r="C37" s="51"/>
      <c r="D37" s="51"/>
      <c r="E37" s="51"/>
      <c r="F37" s="51"/>
      <c r="G37" s="51"/>
      <c r="I37" s="59"/>
      <c r="J37" s="59"/>
      <c r="K37" s="59"/>
      <c r="L37" s="59"/>
    </row>
    <row r="38">
      <c r="B38" s="50" t="s">
        <v>30</v>
      </c>
      <c r="C38" s="51"/>
      <c r="D38" s="51"/>
      <c r="E38" s="51"/>
      <c r="F38" s="51"/>
      <c r="G38" s="51"/>
      <c r="I38" s="59"/>
      <c r="J38" s="59"/>
      <c r="K38" s="59"/>
      <c r="L38" s="59"/>
    </row>
    <row r="39">
      <c r="B39" s="50" t="s">
        <v>31</v>
      </c>
      <c r="C39" s="51"/>
      <c r="D39" s="51"/>
      <c r="E39" s="51"/>
      <c r="F39" s="51"/>
      <c r="G39" s="51"/>
      <c r="I39" s="59"/>
      <c r="J39" s="59"/>
      <c r="K39" s="59"/>
      <c r="L39" s="59"/>
    </row>
    <row r="40">
      <c r="B40" s="50" t="s">
        <v>32</v>
      </c>
      <c r="C40" s="51"/>
      <c r="D40" s="51"/>
      <c r="E40" s="51"/>
      <c r="F40" s="51"/>
      <c r="G40" s="51"/>
      <c r="I40" s="59"/>
      <c r="J40" s="59"/>
      <c r="K40" s="59"/>
      <c r="L40" s="59"/>
    </row>
    <row r="41">
      <c r="B41" s="50" t="s">
        <v>36</v>
      </c>
      <c r="C41" s="51"/>
      <c r="D41" s="51"/>
      <c r="E41" s="51"/>
      <c r="F41" s="51"/>
      <c r="G41" s="51"/>
    </row>
    <row r="42">
      <c r="B42" s="50" t="s">
        <v>37</v>
      </c>
      <c r="C42" s="51"/>
      <c r="D42" s="51"/>
      <c r="E42" s="51"/>
      <c r="F42" s="51"/>
      <c r="G42" s="51"/>
    </row>
    <row r="43">
      <c r="B43" s="50" t="s">
        <v>38</v>
      </c>
      <c r="C43" s="51"/>
      <c r="D43" s="51"/>
      <c r="E43" s="51"/>
      <c r="F43" s="51"/>
      <c r="G43" s="51"/>
    </row>
    <row r="44">
      <c r="B44" s="50" t="s">
        <v>39</v>
      </c>
      <c r="C44" s="51"/>
      <c r="D44" s="51"/>
      <c r="E44" s="51"/>
      <c r="F44" s="51"/>
      <c r="G44" s="51"/>
    </row>
    <row r="45">
      <c r="B45" s="50" t="s">
        <v>40</v>
      </c>
      <c r="C45" s="51"/>
      <c r="D45" s="51"/>
      <c r="E45" s="51"/>
      <c r="F45" s="51"/>
      <c r="G45" s="51"/>
    </row>
    <row r="46">
      <c r="B46" s="50" t="s">
        <v>14</v>
      </c>
      <c r="C46" s="52"/>
    </row>
    <row r="47">
      <c r="B47" s="50" t="s">
        <v>13</v>
      </c>
      <c r="C47" s="52"/>
    </row>
    <row r="49">
      <c r="D49" s="38"/>
      <c r="E49" s="38"/>
      <c r="F49" s="38"/>
    </row>
    <row r="50">
      <c r="D50" s="38"/>
      <c r="E50" s="38"/>
      <c r="F50" s="38"/>
    </row>
  </sheetData>
  <mergeCells count="13">
    <mergeCell ref="B27:G28"/>
    <mergeCell ref="B31:G32"/>
    <mergeCell ref="B33:B34"/>
    <mergeCell ref="C33:D33"/>
    <mergeCell ref="E33:F33"/>
    <mergeCell ref="G33:G34"/>
    <mergeCell ref="B1:G2"/>
    <mergeCell ref="J6:O25"/>
    <mergeCell ref="B9:G10"/>
    <mergeCell ref="B11:B12"/>
    <mergeCell ref="C11:D11"/>
    <mergeCell ref="E11:F11"/>
    <mergeCell ref="G11:G12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45647.0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17</v>
      </c>
      <c r="C6" s="18" t="s">
        <v>18</v>
      </c>
      <c r="D6" s="20">
        <v>23.0</v>
      </c>
      <c r="E6" s="54">
        <v>95.0</v>
      </c>
      <c r="F6" s="55">
        <v>184.0</v>
      </c>
      <c r="G6" s="21">
        <v>37160.0</v>
      </c>
      <c r="H6" s="22" t="s">
        <v>19</v>
      </c>
      <c r="J6" s="61"/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>
        <v>35.0</v>
      </c>
      <c r="D13" s="56">
        <v>39.0</v>
      </c>
      <c r="E13" s="56">
        <v>35.0</v>
      </c>
      <c r="F13" s="56">
        <v>39.0</v>
      </c>
      <c r="G13" s="57"/>
    </row>
    <row r="14">
      <c r="B14" s="29" t="s">
        <v>28</v>
      </c>
      <c r="C14" s="56"/>
      <c r="D14" s="56"/>
      <c r="E14" s="56"/>
      <c r="F14" s="56"/>
      <c r="G14" s="57"/>
    </row>
    <row r="15">
      <c r="B15" s="29" t="s">
        <v>29</v>
      </c>
      <c r="C15" s="31"/>
      <c r="D15" s="31"/>
      <c r="E15" s="31"/>
      <c r="F15" s="31"/>
      <c r="G15" s="56">
        <v>126.0</v>
      </c>
    </row>
    <row r="16">
      <c r="B16" s="29" t="s">
        <v>30</v>
      </c>
      <c r="C16" s="31"/>
      <c r="D16" s="31"/>
      <c r="E16" s="31"/>
      <c r="F16" s="31"/>
      <c r="G16" s="56">
        <v>107.0</v>
      </c>
    </row>
    <row r="17">
      <c r="B17" s="29" t="s">
        <v>31</v>
      </c>
      <c r="C17" s="31"/>
      <c r="D17" s="31"/>
      <c r="E17" s="31"/>
      <c r="F17" s="31"/>
      <c r="G17" s="56">
        <v>97.0</v>
      </c>
    </row>
    <row r="18">
      <c r="B18" s="29" t="s">
        <v>32</v>
      </c>
      <c r="C18" s="31"/>
      <c r="D18" s="31"/>
      <c r="E18" s="31"/>
      <c r="F18" s="31"/>
      <c r="G18" s="56">
        <v>101.0</v>
      </c>
    </row>
    <row r="19">
      <c r="B19" s="29" t="s">
        <v>36</v>
      </c>
      <c r="C19" s="31"/>
      <c r="D19" s="31"/>
      <c r="E19" s="31"/>
      <c r="F19" s="31"/>
      <c r="G19" s="56">
        <v>108.0</v>
      </c>
    </row>
    <row r="20">
      <c r="B20" s="29" t="s">
        <v>37</v>
      </c>
      <c r="C20" s="56"/>
      <c r="D20" s="56"/>
      <c r="E20" s="56"/>
      <c r="F20" s="56"/>
      <c r="G20" s="57"/>
    </row>
    <row r="21">
      <c r="B21" s="29" t="s">
        <v>38</v>
      </c>
      <c r="C21" s="56">
        <v>65.0</v>
      </c>
      <c r="D21" s="56"/>
      <c r="E21" s="56">
        <v>64.0</v>
      </c>
      <c r="F21" s="56"/>
      <c r="G21" s="57"/>
    </row>
    <row r="22">
      <c r="B22" s="29" t="s">
        <v>39</v>
      </c>
      <c r="C22" s="56"/>
      <c r="D22" s="56"/>
      <c r="E22" s="56"/>
      <c r="F22" s="56"/>
      <c r="G22" s="57"/>
    </row>
    <row r="23">
      <c r="B23" s="29" t="s">
        <v>40</v>
      </c>
      <c r="C23" s="56">
        <v>41.0</v>
      </c>
      <c r="D23" s="56"/>
      <c r="E23" s="56">
        <v>41.0</v>
      </c>
      <c r="F23" s="56"/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62"/>
      <c r="K25" s="62"/>
      <c r="L25" s="62"/>
      <c r="M25" s="62"/>
      <c r="N25" s="62"/>
      <c r="O25" s="6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28.0600189</v>
      </c>
      <c r="K28" s="36">
        <f>66+(13.8*E6)+(5*F6)-(6.8*D6)</f>
        <v>2140.6</v>
      </c>
      <c r="L28" s="37"/>
    </row>
    <row r="31">
      <c r="B31" s="44" t="s">
        <v>51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/>
      <c r="D35" s="51"/>
      <c r="E35" s="51"/>
      <c r="F35" s="51"/>
      <c r="G35" s="51"/>
      <c r="I35" s="49"/>
      <c r="J35" s="49"/>
      <c r="K35" s="49"/>
      <c r="L35" s="49"/>
    </row>
    <row r="36">
      <c r="B36" s="50" t="s">
        <v>28</v>
      </c>
      <c r="C36" s="51"/>
      <c r="D36" s="51"/>
      <c r="E36" s="51"/>
      <c r="F36" s="51"/>
      <c r="G36" s="51"/>
      <c r="I36" s="49"/>
      <c r="J36" s="49"/>
      <c r="K36" s="49"/>
      <c r="L36" s="49"/>
    </row>
    <row r="37">
      <c r="B37" s="50" t="s">
        <v>29</v>
      </c>
      <c r="C37" s="51"/>
      <c r="D37" s="51"/>
      <c r="E37" s="51"/>
      <c r="F37" s="51"/>
      <c r="G37" s="51"/>
      <c r="I37" s="59"/>
      <c r="J37" s="59"/>
      <c r="K37" s="59"/>
      <c r="L37" s="59"/>
    </row>
    <row r="38">
      <c r="B38" s="50" t="s">
        <v>30</v>
      </c>
      <c r="C38" s="51"/>
      <c r="D38" s="51"/>
      <c r="E38" s="51"/>
      <c r="F38" s="51"/>
      <c r="G38" s="51"/>
      <c r="I38" s="59"/>
      <c r="J38" s="59"/>
      <c r="K38" s="59"/>
      <c r="L38" s="59"/>
    </row>
    <row r="39">
      <c r="B39" s="50" t="s">
        <v>31</v>
      </c>
      <c r="C39" s="51"/>
      <c r="D39" s="51"/>
      <c r="E39" s="51"/>
      <c r="F39" s="51"/>
      <c r="G39" s="51"/>
      <c r="I39" s="59"/>
      <c r="J39" s="59"/>
      <c r="K39" s="59"/>
      <c r="L39" s="59"/>
    </row>
    <row r="40">
      <c r="B40" s="50" t="s">
        <v>32</v>
      </c>
      <c r="C40" s="51"/>
      <c r="D40" s="51"/>
      <c r="E40" s="51"/>
      <c r="F40" s="51"/>
      <c r="G40" s="51"/>
      <c r="I40" s="59"/>
      <c r="J40" s="59"/>
      <c r="K40" s="59"/>
      <c r="L40" s="59"/>
    </row>
    <row r="41">
      <c r="B41" s="50" t="s">
        <v>36</v>
      </c>
      <c r="C41" s="51"/>
      <c r="D41" s="51"/>
      <c r="E41" s="51"/>
      <c r="F41" s="51"/>
      <c r="G41" s="51"/>
    </row>
    <row r="42">
      <c r="B42" s="50" t="s">
        <v>37</v>
      </c>
      <c r="C42" s="51"/>
      <c r="D42" s="51"/>
      <c r="E42" s="51"/>
      <c r="F42" s="51"/>
      <c r="G42" s="51"/>
    </row>
    <row r="43">
      <c r="B43" s="50" t="s">
        <v>38</v>
      </c>
      <c r="C43" s="51"/>
      <c r="D43" s="51"/>
      <c r="E43" s="51"/>
      <c r="F43" s="51"/>
      <c r="G43" s="51"/>
    </row>
    <row r="44">
      <c r="B44" s="50" t="s">
        <v>39</v>
      </c>
      <c r="C44" s="51"/>
      <c r="D44" s="51"/>
      <c r="E44" s="51"/>
      <c r="F44" s="51"/>
      <c r="G44" s="51"/>
    </row>
    <row r="45">
      <c r="B45" s="50" t="s">
        <v>40</v>
      </c>
      <c r="C45" s="51"/>
      <c r="D45" s="51"/>
      <c r="E45" s="51"/>
      <c r="F45" s="51"/>
      <c r="G45" s="51"/>
    </row>
    <row r="46">
      <c r="B46" s="50" t="s">
        <v>14</v>
      </c>
      <c r="C46" s="52"/>
    </row>
    <row r="47">
      <c r="B47" s="50" t="s">
        <v>13</v>
      </c>
      <c r="C47" s="52"/>
    </row>
    <row r="49">
      <c r="D49" s="38"/>
      <c r="E49" s="38"/>
      <c r="F49" s="38"/>
    </row>
    <row r="50">
      <c r="D50" s="38"/>
      <c r="E50" s="38"/>
      <c r="F50" s="38"/>
    </row>
  </sheetData>
  <mergeCells count="13">
    <mergeCell ref="B27:G28"/>
    <mergeCell ref="B31:G32"/>
    <mergeCell ref="B33:B34"/>
    <mergeCell ref="C33:D33"/>
    <mergeCell ref="E33:F33"/>
    <mergeCell ref="G33:G34"/>
    <mergeCell ref="B1:G2"/>
    <mergeCell ref="J6:O25"/>
    <mergeCell ref="B9:G10"/>
    <mergeCell ref="B11:B12"/>
    <mergeCell ref="C11:D11"/>
    <mergeCell ref="E11:F11"/>
    <mergeCell ref="G11:G12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45749.0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56</v>
      </c>
      <c r="C6" s="18" t="s">
        <v>53</v>
      </c>
      <c r="D6" s="20">
        <v>27.0</v>
      </c>
      <c r="E6" s="54">
        <v>58.0</v>
      </c>
      <c r="F6" s="55"/>
      <c r="G6" s="21">
        <v>37160.0</v>
      </c>
      <c r="H6" s="22" t="s">
        <v>19</v>
      </c>
      <c r="J6" s="61"/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>
        <v>23.0</v>
      </c>
      <c r="D13" s="56"/>
      <c r="E13" s="56">
        <v>23.0</v>
      </c>
      <c r="F13" s="56"/>
      <c r="G13" s="57"/>
    </row>
    <row r="14">
      <c r="B14" s="29" t="s">
        <v>28</v>
      </c>
      <c r="C14" s="56">
        <v>23.0</v>
      </c>
      <c r="D14" s="56"/>
      <c r="E14" s="56">
        <v>23.0</v>
      </c>
      <c r="F14" s="56"/>
      <c r="G14" s="57"/>
    </row>
    <row r="15">
      <c r="B15" s="29" t="s">
        <v>29</v>
      </c>
      <c r="C15" s="31"/>
      <c r="D15" s="31"/>
      <c r="E15" s="31"/>
      <c r="F15" s="31"/>
      <c r="G15" s="56">
        <v>97.0</v>
      </c>
    </row>
    <row r="16">
      <c r="B16" s="29" t="s">
        <v>30</v>
      </c>
      <c r="C16" s="31"/>
      <c r="D16" s="31"/>
      <c r="E16" s="31"/>
      <c r="F16" s="31"/>
      <c r="G16" s="56">
        <v>83.0</v>
      </c>
    </row>
    <row r="17">
      <c r="B17" s="29" t="s">
        <v>31</v>
      </c>
      <c r="C17" s="31"/>
      <c r="D17" s="31"/>
      <c r="E17" s="31"/>
      <c r="F17" s="31"/>
      <c r="G17" s="56">
        <v>70.0</v>
      </c>
    </row>
    <row r="18">
      <c r="B18" s="29" t="s">
        <v>32</v>
      </c>
      <c r="C18" s="31"/>
      <c r="D18" s="31"/>
      <c r="E18" s="31"/>
      <c r="F18" s="31"/>
      <c r="G18" s="56">
        <v>75.0</v>
      </c>
    </row>
    <row r="19">
      <c r="B19" s="29" t="s">
        <v>36</v>
      </c>
      <c r="C19" s="31"/>
      <c r="D19" s="31"/>
      <c r="E19" s="31"/>
      <c r="F19" s="31"/>
      <c r="G19" s="56">
        <v>92.0</v>
      </c>
    </row>
    <row r="20">
      <c r="B20" s="29" t="s">
        <v>37</v>
      </c>
      <c r="C20" s="56"/>
      <c r="D20" s="56"/>
      <c r="E20" s="56"/>
      <c r="F20" s="56"/>
      <c r="G20" s="57"/>
    </row>
    <row r="21">
      <c r="B21" s="29" t="s">
        <v>38</v>
      </c>
      <c r="C21" s="56">
        <v>54.0</v>
      </c>
      <c r="D21" s="56">
        <v>54.0</v>
      </c>
      <c r="E21" s="56">
        <v>54.0</v>
      </c>
      <c r="F21" s="56">
        <v>54.0</v>
      </c>
      <c r="G21" s="57"/>
    </row>
    <row r="22">
      <c r="B22" s="29" t="s">
        <v>39</v>
      </c>
      <c r="C22" s="56"/>
      <c r="D22" s="56"/>
      <c r="E22" s="56"/>
      <c r="F22" s="56"/>
      <c r="G22" s="57"/>
    </row>
    <row r="23">
      <c r="B23" s="29" t="s">
        <v>40</v>
      </c>
      <c r="C23" s="56">
        <v>37.0</v>
      </c>
      <c r="D23" s="56">
        <v>37.0</v>
      </c>
      <c r="E23" s="56">
        <v>37.0</v>
      </c>
      <c r="F23" s="56">
        <v>37.0</v>
      </c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62"/>
      <c r="K25" s="62"/>
      <c r="L25" s="62"/>
      <c r="M25" s="62"/>
      <c r="N25" s="62"/>
      <c r="O25" s="6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0</v>
      </c>
      <c r="K28" s="36">
        <f>66+(13.8*E6)+(5*F6)-(6.8*D6)</f>
        <v>682.8</v>
      </c>
      <c r="L28" s="37"/>
    </row>
    <row r="31">
      <c r="B31" s="44" t="s">
        <v>51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/>
      <c r="D35" s="51"/>
      <c r="E35" s="51"/>
      <c r="F35" s="51"/>
      <c r="G35" s="51"/>
      <c r="I35" s="49"/>
      <c r="J35" s="49"/>
      <c r="K35" s="49"/>
      <c r="L35" s="49"/>
    </row>
    <row r="36">
      <c r="B36" s="50" t="s">
        <v>28</v>
      </c>
      <c r="C36" s="51"/>
      <c r="D36" s="51"/>
      <c r="E36" s="51"/>
      <c r="F36" s="51"/>
      <c r="G36" s="51"/>
      <c r="I36" s="49"/>
      <c r="J36" s="49"/>
      <c r="K36" s="49"/>
      <c r="L36" s="49"/>
    </row>
    <row r="37">
      <c r="B37" s="50" t="s">
        <v>29</v>
      </c>
      <c r="C37" s="51"/>
      <c r="D37" s="51"/>
      <c r="E37" s="51"/>
      <c r="F37" s="51"/>
      <c r="G37" s="51"/>
      <c r="I37" s="59"/>
      <c r="J37" s="59"/>
      <c r="K37" s="59"/>
      <c r="L37" s="59"/>
    </row>
    <row r="38">
      <c r="B38" s="50" t="s">
        <v>30</v>
      </c>
      <c r="C38" s="51"/>
      <c r="D38" s="51"/>
      <c r="E38" s="51"/>
      <c r="F38" s="51"/>
      <c r="G38" s="51"/>
      <c r="I38" s="59"/>
      <c r="J38" s="59"/>
      <c r="K38" s="59"/>
      <c r="L38" s="59"/>
    </row>
    <row r="39">
      <c r="B39" s="50" t="s">
        <v>31</v>
      </c>
      <c r="C39" s="51"/>
      <c r="D39" s="51"/>
      <c r="E39" s="51"/>
      <c r="F39" s="51"/>
      <c r="G39" s="51"/>
      <c r="I39" s="59"/>
      <c r="J39" s="59"/>
      <c r="K39" s="59"/>
      <c r="L39" s="59"/>
    </row>
    <row r="40">
      <c r="B40" s="50" t="s">
        <v>32</v>
      </c>
      <c r="C40" s="51"/>
      <c r="D40" s="51"/>
      <c r="E40" s="51"/>
      <c r="F40" s="51"/>
      <c r="G40" s="51"/>
      <c r="I40" s="59"/>
      <c r="J40" s="59"/>
      <c r="K40" s="59"/>
      <c r="L40" s="59"/>
    </row>
    <row r="41">
      <c r="B41" s="50" t="s">
        <v>36</v>
      </c>
      <c r="C41" s="51"/>
      <c r="D41" s="51"/>
      <c r="E41" s="51"/>
      <c r="F41" s="51"/>
      <c r="G41" s="51"/>
    </row>
    <row r="42">
      <c r="B42" s="50" t="s">
        <v>37</v>
      </c>
      <c r="C42" s="51"/>
      <c r="D42" s="51"/>
      <c r="E42" s="51"/>
      <c r="F42" s="51"/>
      <c r="G42" s="51"/>
    </row>
    <row r="43">
      <c r="B43" s="50" t="s">
        <v>38</v>
      </c>
      <c r="C43" s="51"/>
      <c r="D43" s="51"/>
      <c r="E43" s="51"/>
      <c r="F43" s="51"/>
      <c r="G43" s="51"/>
    </row>
    <row r="44">
      <c r="B44" s="50" t="s">
        <v>39</v>
      </c>
      <c r="C44" s="51"/>
      <c r="D44" s="51"/>
      <c r="E44" s="51"/>
      <c r="F44" s="51"/>
      <c r="G44" s="51"/>
    </row>
    <row r="45">
      <c r="B45" s="50" t="s">
        <v>40</v>
      </c>
      <c r="C45" s="51"/>
      <c r="D45" s="51"/>
      <c r="E45" s="51"/>
      <c r="F45" s="51"/>
      <c r="G45" s="51"/>
    </row>
    <row r="46">
      <c r="B46" s="50" t="s">
        <v>14</v>
      </c>
      <c r="C46" s="52"/>
    </row>
    <row r="47">
      <c r="B47" s="50" t="s">
        <v>13</v>
      </c>
      <c r="C47" s="52"/>
    </row>
    <row r="49">
      <c r="D49" s="38"/>
      <c r="E49" s="38"/>
      <c r="F49" s="38"/>
    </row>
    <row r="50">
      <c r="D50" s="38"/>
      <c r="E50" s="38"/>
      <c r="F50" s="38"/>
    </row>
  </sheetData>
  <mergeCells count="13">
    <mergeCell ref="B27:G28"/>
    <mergeCell ref="B31:G32"/>
    <mergeCell ref="B33:B34"/>
    <mergeCell ref="C33:D33"/>
    <mergeCell ref="E33:F33"/>
    <mergeCell ref="G33:G34"/>
    <mergeCell ref="B1:G2"/>
    <mergeCell ref="J6:O25"/>
    <mergeCell ref="B9:G10"/>
    <mergeCell ref="B11:B12"/>
    <mergeCell ref="C11:D11"/>
    <mergeCell ref="E11:F11"/>
    <mergeCell ref="G11:G12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45749.0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56</v>
      </c>
      <c r="C6" s="18" t="s">
        <v>53</v>
      </c>
      <c r="D6" s="20">
        <v>27.0</v>
      </c>
      <c r="E6" s="54">
        <v>58.0</v>
      </c>
      <c r="F6" s="55"/>
      <c r="G6" s="21">
        <v>37160.0</v>
      </c>
      <c r="H6" s="22" t="s">
        <v>19</v>
      </c>
      <c r="J6" s="61"/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/>
      <c r="D13" s="56"/>
      <c r="E13" s="56"/>
      <c r="F13" s="56"/>
      <c r="G13" s="57"/>
    </row>
    <row r="14">
      <c r="B14" s="29" t="s">
        <v>28</v>
      </c>
      <c r="C14" s="56"/>
      <c r="D14" s="56"/>
      <c r="E14" s="56"/>
      <c r="F14" s="56"/>
      <c r="G14" s="57"/>
    </row>
    <row r="15">
      <c r="B15" s="29" t="s">
        <v>29</v>
      </c>
      <c r="C15" s="31"/>
      <c r="D15" s="31"/>
      <c r="E15" s="31"/>
      <c r="F15" s="31"/>
      <c r="G15" s="56"/>
    </row>
    <row r="16">
      <c r="B16" s="29" t="s">
        <v>30</v>
      </c>
      <c r="C16" s="31"/>
      <c r="D16" s="31"/>
      <c r="E16" s="31"/>
      <c r="F16" s="31"/>
      <c r="G16" s="56"/>
    </row>
    <row r="17">
      <c r="B17" s="29" t="s">
        <v>31</v>
      </c>
      <c r="C17" s="31"/>
      <c r="D17" s="31"/>
      <c r="E17" s="31"/>
      <c r="F17" s="31"/>
      <c r="G17" s="56">
        <v>70.0</v>
      </c>
    </row>
    <row r="18">
      <c r="B18" s="29" t="s">
        <v>32</v>
      </c>
      <c r="C18" s="31"/>
      <c r="D18" s="31"/>
      <c r="E18" s="31"/>
      <c r="F18" s="31"/>
      <c r="G18" s="56">
        <v>75.0</v>
      </c>
    </row>
    <row r="19">
      <c r="B19" s="29" t="s">
        <v>36</v>
      </c>
      <c r="C19" s="31"/>
      <c r="D19" s="31"/>
      <c r="E19" s="31"/>
      <c r="F19" s="31"/>
      <c r="G19" s="56">
        <v>93.0</v>
      </c>
    </row>
    <row r="20">
      <c r="B20" s="29" t="s">
        <v>37</v>
      </c>
      <c r="C20" s="56"/>
      <c r="D20" s="56"/>
      <c r="E20" s="56"/>
      <c r="F20" s="56"/>
      <c r="G20" s="57"/>
    </row>
    <row r="21">
      <c r="B21" s="29" t="s">
        <v>38</v>
      </c>
      <c r="C21" s="56">
        <v>53.0</v>
      </c>
      <c r="D21" s="56">
        <v>54.3</v>
      </c>
      <c r="E21" s="56">
        <v>53.0</v>
      </c>
      <c r="F21" s="56">
        <v>54.2</v>
      </c>
      <c r="G21" s="57"/>
    </row>
    <row r="22">
      <c r="B22" s="29" t="s">
        <v>39</v>
      </c>
      <c r="C22" s="56"/>
      <c r="D22" s="56"/>
      <c r="E22" s="56"/>
      <c r="F22" s="56"/>
      <c r="G22" s="57"/>
    </row>
    <row r="23">
      <c r="B23" s="29" t="s">
        <v>40</v>
      </c>
      <c r="C23" s="56"/>
      <c r="D23" s="56"/>
      <c r="E23" s="56"/>
      <c r="F23" s="56"/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62"/>
      <c r="K25" s="62"/>
      <c r="L25" s="62"/>
      <c r="M25" s="62"/>
      <c r="N25" s="62"/>
      <c r="O25" s="6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0</v>
      </c>
      <c r="K28" s="36">
        <f>66+(13.8*E6)+(5*F6)-(6.8*D6)</f>
        <v>682.8</v>
      </c>
      <c r="L28" s="37"/>
    </row>
    <row r="31">
      <c r="B31" s="44" t="s">
        <v>51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/>
      <c r="D35" s="51"/>
      <c r="E35" s="51"/>
      <c r="F35" s="51"/>
      <c r="G35" s="51"/>
      <c r="I35" s="49"/>
      <c r="J35" s="49"/>
      <c r="K35" s="49"/>
      <c r="L35" s="49"/>
    </row>
    <row r="36">
      <c r="B36" s="50" t="s">
        <v>28</v>
      </c>
      <c r="C36" s="51"/>
      <c r="D36" s="51"/>
      <c r="E36" s="51"/>
      <c r="F36" s="51"/>
      <c r="G36" s="51"/>
      <c r="I36" s="49"/>
      <c r="J36" s="49"/>
      <c r="K36" s="49"/>
      <c r="L36" s="49"/>
    </row>
    <row r="37">
      <c r="B37" s="50" t="s">
        <v>29</v>
      </c>
      <c r="C37" s="51"/>
      <c r="D37" s="51"/>
      <c r="E37" s="51"/>
      <c r="F37" s="51"/>
      <c r="G37" s="51"/>
      <c r="I37" s="59"/>
      <c r="J37" s="59"/>
      <c r="K37" s="59"/>
      <c r="L37" s="59"/>
    </row>
    <row r="38">
      <c r="B38" s="50" t="s">
        <v>30</v>
      </c>
      <c r="C38" s="51"/>
      <c r="D38" s="51"/>
      <c r="E38" s="51"/>
      <c r="F38" s="51"/>
      <c r="G38" s="51"/>
      <c r="I38" s="59"/>
      <c r="J38" s="59"/>
      <c r="K38" s="59"/>
      <c r="L38" s="59"/>
    </row>
    <row r="39">
      <c r="B39" s="50" t="s">
        <v>31</v>
      </c>
      <c r="C39" s="51"/>
      <c r="D39" s="51"/>
      <c r="E39" s="51"/>
      <c r="F39" s="51"/>
      <c r="G39" s="51"/>
      <c r="I39" s="59"/>
      <c r="J39" s="59"/>
      <c r="K39" s="59"/>
      <c r="L39" s="59"/>
    </row>
    <row r="40">
      <c r="B40" s="50" t="s">
        <v>32</v>
      </c>
      <c r="C40" s="51"/>
      <c r="D40" s="51"/>
      <c r="E40" s="51"/>
      <c r="F40" s="51"/>
      <c r="G40" s="51"/>
      <c r="I40" s="59"/>
      <c r="J40" s="59"/>
      <c r="K40" s="59"/>
      <c r="L40" s="59"/>
    </row>
    <row r="41">
      <c r="B41" s="50" t="s">
        <v>36</v>
      </c>
      <c r="C41" s="51"/>
      <c r="D41" s="51"/>
      <c r="E41" s="51"/>
      <c r="F41" s="51"/>
      <c r="G41" s="51"/>
    </row>
    <row r="42">
      <c r="B42" s="50" t="s">
        <v>37</v>
      </c>
      <c r="C42" s="51"/>
      <c r="D42" s="51"/>
      <c r="E42" s="51"/>
      <c r="F42" s="51"/>
      <c r="G42" s="51"/>
    </row>
    <row r="43">
      <c r="B43" s="50" t="s">
        <v>38</v>
      </c>
      <c r="C43" s="51"/>
      <c r="D43" s="51"/>
      <c r="E43" s="51"/>
      <c r="F43" s="51"/>
      <c r="G43" s="51"/>
    </row>
    <row r="44">
      <c r="B44" s="50" t="s">
        <v>39</v>
      </c>
      <c r="C44" s="51"/>
      <c r="D44" s="51"/>
      <c r="E44" s="51"/>
      <c r="F44" s="51"/>
      <c r="G44" s="51"/>
    </row>
    <row r="45">
      <c r="B45" s="50" t="s">
        <v>40</v>
      </c>
      <c r="C45" s="51"/>
      <c r="D45" s="51"/>
      <c r="E45" s="51"/>
      <c r="F45" s="51"/>
      <c r="G45" s="51"/>
    </row>
    <row r="46">
      <c r="B46" s="50" t="s">
        <v>14</v>
      </c>
      <c r="C46" s="52"/>
    </row>
    <row r="47">
      <c r="B47" s="50" t="s">
        <v>13</v>
      </c>
      <c r="C47" s="52"/>
    </row>
    <row r="49">
      <c r="D49" s="38"/>
      <c r="E49" s="38"/>
      <c r="F49" s="38"/>
    </row>
    <row r="50">
      <c r="D50" s="38"/>
      <c r="E50" s="38"/>
      <c r="F50" s="38"/>
    </row>
  </sheetData>
  <mergeCells count="13">
    <mergeCell ref="B27:G28"/>
    <mergeCell ref="B31:G32"/>
    <mergeCell ref="B33:B34"/>
    <mergeCell ref="C33:D33"/>
    <mergeCell ref="E33:F33"/>
    <mergeCell ref="G33:G34"/>
    <mergeCell ref="B1:G2"/>
    <mergeCell ref="J6:O25"/>
    <mergeCell ref="B9:G10"/>
    <mergeCell ref="B11:B12"/>
    <mergeCell ref="C11:D11"/>
    <mergeCell ref="E11:F11"/>
    <mergeCell ref="G11:G12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45749.0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56</v>
      </c>
      <c r="C6" s="18" t="s">
        <v>53</v>
      </c>
      <c r="D6" s="20">
        <v>27.0</v>
      </c>
      <c r="E6" s="54">
        <v>58.0</v>
      </c>
      <c r="F6" s="55"/>
      <c r="G6" s="21">
        <v>37160.0</v>
      </c>
      <c r="H6" s="22" t="s">
        <v>19</v>
      </c>
      <c r="J6" s="61"/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/>
      <c r="D13" s="56"/>
      <c r="E13" s="56"/>
      <c r="F13" s="56"/>
      <c r="G13" s="57"/>
    </row>
    <row r="14">
      <c r="B14" s="29" t="s">
        <v>28</v>
      </c>
      <c r="C14" s="56"/>
      <c r="D14" s="56"/>
      <c r="E14" s="56"/>
      <c r="F14" s="56"/>
      <c r="G14" s="57"/>
    </row>
    <row r="15">
      <c r="B15" s="29" t="s">
        <v>29</v>
      </c>
      <c r="C15" s="31"/>
      <c r="D15" s="31"/>
      <c r="E15" s="31"/>
      <c r="F15" s="31"/>
      <c r="G15" s="56"/>
    </row>
    <row r="16">
      <c r="B16" s="29" t="s">
        <v>30</v>
      </c>
      <c r="C16" s="31"/>
      <c r="D16" s="31"/>
      <c r="E16" s="31"/>
      <c r="F16" s="31"/>
      <c r="G16" s="56"/>
    </row>
    <row r="17">
      <c r="B17" s="29" t="s">
        <v>31</v>
      </c>
      <c r="C17" s="31"/>
      <c r="D17" s="31"/>
      <c r="E17" s="31"/>
      <c r="F17" s="31"/>
      <c r="G17" s="56">
        <v>70.0</v>
      </c>
    </row>
    <row r="18">
      <c r="B18" s="29" t="s">
        <v>32</v>
      </c>
      <c r="C18" s="31"/>
      <c r="D18" s="31"/>
      <c r="E18" s="31"/>
      <c r="F18" s="31"/>
      <c r="G18" s="56">
        <v>74.0</v>
      </c>
    </row>
    <row r="19">
      <c r="B19" s="29" t="s">
        <v>36</v>
      </c>
      <c r="C19" s="31"/>
      <c r="D19" s="31"/>
      <c r="E19" s="31"/>
      <c r="F19" s="31"/>
      <c r="G19" s="56">
        <v>93.0</v>
      </c>
    </row>
    <row r="20">
      <c r="B20" s="29" t="s">
        <v>37</v>
      </c>
      <c r="C20" s="56"/>
      <c r="D20" s="56"/>
      <c r="E20" s="56"/>
      <c r="F20" s="56"/>
      <c r="G20" s="57"/>
    </row>
    <row r="21">
      <c r="B21" s="29" t="s">
        <v>38</v>
      </c>
      <c r="C21" s="56">
        <v>53.0</v>
      </c>
      <c r="D21" s="56"/>
      <c r="E21" s="56">
        <v>53.0</v>
      </c>
      <c r="F21" s="56"/>
      <c r="G21" s="57"/>
    </row>
    <row r="22">
      <c r="B22" s="29" t="s">
        <v>39</v>
      </c>
      <c r="C22" s="56"/>
      <c r="D22" s="56"/>
      <c r="E22" s="56"/>
      <c r="F22" s="56"/>
      <c r="G22" s="57"/>
    </row>
    <row r="23">
      <c r="B23" s="29" t="s">
        <v>40</v>
      </c>
      <c r="C23" s="56">
        <v>34.0</v>
      </c>
      <c r="D23" s="56"/>
      <c r="E23" s="56">
        <v>34.0</v>
      </c>
      <c r="F23" s="56"/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62"/>
      <c r="K25" s="62"/>
      <c r="L25" s="62"/>
      <c r="M25" s="62"/>
      <c r="N25" s="62"/>
      <c r="O25" s="6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0</v>
      </c>
      <c r="K28" s="36">
        <f>66+(13.8*E6)+(5*F6)-(6.8*D6)</f>
        <v>682.8</v>
      </c>
      <c r="L28" s="37"/>
    </row>
    <row r="31">
      <c r="B31" s="44" t="s">
        <v>51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/>
      <c r="D35" s="51"/>
      <c r="E35" s="51"/>
      <c r="F35" s="51"/>
      <c r="G35" s="51"/>
      <c r="I35" s="49"/>
      <c r="J35" s="49"/>
      <c r="K35" s="49"/>
      <c r="L35" s="49"/>
    </row>
    <row r="36">
      <c r="B36" s="50" t="s">
        <v>28</v>
      </c>
      <c r="C36" s="51"/>
      <c r="D36" s="51"/>
      <c r="E36" s="51"/>
      <c r="F36" s="51"/>
      <c r="G36" s="51"/>
      <c r="I36" s="49"/>
      <c r="J36" s="49"/>
      <c r="K36" s="49"/>
      <c r="L36" s="49"/>
    </row>
    <row r="37">
      <c r="B37" s="50" t="s">
        <v>29</v>
      </c>
      <c r="C37" s="51"/>
      <c r="D37" s="51"/>
      <c r="E37" s="51"/>
      <c r="F37" s="51"/>
      <c r="G37" s="51"/>
      <c r="I37" s="59"/>
      <c r="J37" s="59"/>
      <c r="K37" s="59"/>
      <c r="L37" s="59"/>
    </row>
    <row r="38">
      <c r="B38" s="50" t="s">
        <v>30</v>
      </c>
      <c r="C38" s="51"/>
      <c r="D38" s="51"/>
      <c r="E38" s="51"/>
      <c r="F38" s="51"/>
      <c r="G38" s="51"/>
      <c r="I38" s="59"/>
      <c r="J38" s="59"/>
      <c r="K38" s="59"/>
      <c r="L38" s="59"/>
    </row>
    <row r="39">
      <c r="B39" s="50" t="s">
        <v>31</v>
      </c>
      <c r="C39" s="51"/>
      <c r="D39" s="51"/>
      <c r="E39" s="51"/>
      <c r="F39" s="51"/>
      <c r="G39" s="51"/>
      <c r="I39" s="59"/>
      <c r="J39" s="59"/>
      <c r="K39" s="59"/>
      <c r="L39" s="59"/>
    </row>
    <row r="40">
      <c r="B40" s="50" t="s">
        <v>32</v>
      </c>
      <c r="C40" s="51"/>
      <c r="D40" s="51"/>
      <c r="E40" s="51"/>
      <c r="F40" s="51"/>
      <c r="G40" s="51"/>
      <c r="I40" s="59"/>
      <c r="J40" s="59"/>
      <c r="K40" s="59"/>
      <c r="L40" s="59"/>
    </row>
    <row r="41">
      <c r="B41" s="50" t="s">
        <v>36</v>
      </c>
      <c r="C41" s="51"/>
      <c r="D41" s="51"/>
      <c r="E41" s="51"/>
      <c r="F41" s="51"/>
      <c r="G41" s="51"/>
    </row>
    <row r="42">
      <c r="B42" s="50" t="s">
        <v>37</v>
      </c>
      <c r="C42" s="51"/>
      <c r="D42" s="51"/>
      <c r="E42" s="51"/>
      <c r="F42" s="51"/>
      <c r="G42" s="51"/>
    </row>
    <row r="43">
      <c r="B43" s="50" t="s">
        <v>38</v>
      </c>
      <c r="C43" s="51"/>
      <c r="D43" s="51"/>
      <c r="E43" s="51"/>
      <c r="F43" s="51"/>
      <c r="G43" s="51"/>
    </row>
    <row r="44">
      <c r="B44" s="50" t="s">
        <v>39</v>
      </c>
      <c r="C44" s="51"/>
      <c r="D44" s="51"/>
      <c r="E44" s="51"/>
      <c r="F44" s="51"/>
      <c r="G44" s="51"/>
    </row>
    <row r="45">
      <c r="B45" s="50" t="s">
        <v>40</v>
      </c>
      <c r="C45" s="51"/>
      <c r="D45" s="51"/>
      <c r="E45" s="51"/>
      <c r="F45" s="51"/>
      <c r="G45" s="51"/>
    </row>
    <row r="46">
      <c r="B46" s="50" t="s">
        <v>14</v>
      </c>
      <c r="C46" s="52"/>
    </row>
    <row r="47">
      <c r="B47" s="50" t="s">
        <v>13</v>
      </c>
      <c r="C47" s="52"/>
    </row>
    <row r="49">
      <c r="D49" s="38"/>
      <c r="E49" s="38"/>
      <c r="F49" s="38"/>
    </row>
    <row r="50">
      <c r="D50" s="38"/>
      <c r="E50" s="38"/>
      <c r="F50" s="38"/>
    </row>
  </sheetData>
  <mergeCells count="13">
    <mergeCell ref="B27:G28"/>
    <mergeCell ref="B31:G32"/>
    <mergeCell ref="B33:B34"/>
    <mergeCell ref="C33:D33"/>
    <mergeCell ref="E33:F33"/>
    <mergeCell ref="G33:G34"/>
    <mergeCell ref="B1:G2"/>
    <mergeCell ref="J6:O25"/>
    <mergeCell ref="B9:G10"/>
    <mergeCell ref="B11:B12"/>
    <mergeCell ref="C11:D11"/>
    <mergeCell ref="E11:F11"/>
    <mergeCell ref="G11:G12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45999.0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56</v>
      </c>
      <c r="C6" s="18" t="s">
        <v>53</v>
      </c>
      <c r="D6" s="20">
        <v>28.0</v>
      </c>
      <c r="E6" s="54">
        <v>62.0</v>
      </c>
      <c r="F6" s="55"/>
      <c r="G6" s="21"/>
      <c r="H6" s="22" t="s">
        <v>19</v>
      </c>
      <c r="J6" s="61"/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>
        <v>25.0</v>
      </c>
      <c r="D13" s="56"/>
      <c r="E13" s="56">
        <v>25.0</v>
      </c>
      <c r="F13" s="56"/>
      <c r="G13" s="57"/>
    </row>
    <row r="14">
      <c r="B14" s="29" t="s">
        <v>28</v>
      </c>
      <c r="C14" s="56"/>
      <c r="D14" s="56"/>
      <c r="E14" s="56"/>
      <c r="F14" s="56"/>
      <c r="G14" s="57"/>
    </row>
    <row r="15">
      <c r="B15" s="29" t="s">
        <v>29</v>
      </c>
      <c r="C15" s="31"/>
      <c r="D15" s="31"/>
      <c r="E15" s="31"/>
      <c r="F15" s="31"/>
      <c r="G15" s="56"/>
    </row>
    <row r="16">
      <c r="B16" s="29" t="s">
        <v>30</v>
      </c>
      <c r="C16" s="31"/>
      <c r="D16" s="31"/>
      <c r="E16" s="31"/>
      <c r="F16" s="31"/>
      <c r="G16" s="56"/>
    </row>
    <row r="17">
      <c r="B17" s="29" t="s">
        <v>31</v>
      </c>
      <c r="C17" s="31"/>
      <c r="D17" s="31"/>
      <c r="E17" s="31"/>
      <c r="F17" s="31"/>
      <c r="G17" s="56">
        <v>70.0</v>
      </c>
    </row>
    <row r="18">
      <c r="B18" s="29" t="s">
        <v>32</v>
      </c>
      <c r="C18" s="31"/>
      <c r="D18" s="31"/>
      <c r="E18" s="31"/>
      <c r="F18" s="31"/>
      <c r="G18" s="56">
        <v>74.0</v>
      </c>
    </row>
    <row r="19">
      <c r="B19" s="29" t="s">
        <v>36</v>
      </c>
      <c r="C19" s="31"/>
      <c r="D19" s="31"/>
      <c r="E19" s="31"/>
      <c r="F19" s="31"/>
      <c r="G19" s="56">
        <v>96.0</v>
      </c>
    </row>
    <row r="20">
      <c r="B20" s="29" t="s">
        <v>37</v>
      </c>
      <c r="C20" s="56"/>
      <c r="D20" s="56"/>
      <c r="E20" s="56"/>
      <c r="F20" s="56"/>
      <c r="G20" s="57"/>
    </row>
    <row r="21">
      <c r="B21" s="29" t="s">
        <v>38</v>
      </c>
      <c r="C21" s="56">
        <v>55.0</v>
      </c>
      <c r="D21" s="56"/>
      <c r="E21" s="56">
        <v>55.0</v>
      </c>
      <c r="F21" s="56"/>
      <c r="G21" s="57"/>
    </row>
    <row r="22">
      <c r="B22" s="29" t="s">
        <v>39</v>
      </c>
      <c r="C22" s="56"/>
      <c r="D22" s="56"/>
      <c r="E22" s="56"/>
      <c r="F22" s="56"/>
      <c r="G22" s="57"/>
    </row>
    <row r="23">
      <c r="B23" s="29" t="s">
        <v>40</v>
      </c>
      <c r="C23" s="56">
        <v>34.0</v>
      </c>
      <c r="D23" s="56"/>
      <c r="E23" s="56">
        <v>34.0</v>
      </c>
      <c r="F23" s="56"/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62"/>
      <c r="K25" s="62"/>
      <c r="L25" s="62"/>
      <c r="M25" s="62"/>
      <c r="N25" s="62"/>
      <c r="O25" s="6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0</v>
      </c>
      <c r="K28" s="36">
        <f>66+(13.8*E6)+(5*F6)-(6.8*D6)</f>
        <v>731.2</v>
      </c>
      <c r="L28" s="37"/>
    </row>
    <row r="31">
      <c r="B31" s="44" t="s">
        <v>51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/>
      <c r="D35" s="51"/>
      <c r="E35" s="51"/>
      <c r="F35" s="51"/>
      <c r="G35" s="51"/>
      <c r="I35" s="49"/>
      <c r="J35" s="49"/>
      <c r="K35" s="49"/>
      <c r="L35" s="49"/>
    </row>
    <row r="36">
      <c r="B36" s="50" t="s">
        <v>28</v>
      </c>
      <c r="C36" s="51"/>
      <c r="D36" s="51"/>
      <c r="E36" s="51"/>
      <c r="F36" s="51"/>
      <c r="G36" s="51"/>
      <c r="I36" s="49"/>
      <c r="J36" s="49"/>
      <c r="K36" s="49"/>
      <c r="L36" s="49"/>
    </row>
    <row r="37">
      <c r="B37" s="50" t="s">
        <v>29</v>
      </c>
      <c r="C37" s="51"/>
      <c r="D37" s="51"/>
      <c r="E37" s="51"/>
      <c r="F37" s="51"/>
      <c r="G37" s="51"/>
      <c r="I37" s="59"/>
      <c r="J37" s="59"/>
      <c r="K37" s="59"/>
      <c r="L37" s="59"/>
    </row>
    <row r="38">
      <c r="B38" s="50" t="s">
        <v>30</v>
      </c>
      <c r="C38" s="51"/>
      <c r="D38" s="51"/>
      <c r="E38" s="51"/>
      <c r="F38" s="51"/>
      <c r="G38" s="51"/>
      <c r="I38" s="59"/>
      <c r="J38" s="59"/>
      <c r="K38" s="59"/>
      <c r="L38" s="59"/>
    </row>
    <row r="39">
      <c r="B39" s="50" t="s">
        <v>31</v>
      </c>
      <c r="C39" s="51"/>
      <c r="D39" s="51"/>
      <c r="E39" s="51"/>
      <c r="F39" s="51"/>
      <c r="G39" s="51"/>
      <c r="I39" s="59"/>
      <c r="J39" s="59"/>
      <c r="K39" s="59"/>
      <c r="L39" s="59"/>
    </row>
    <row r="40">
      <c r="B40" s="50" t="s">
        <v>32</v>
      </c>
      <c r="C40" s="51"/>
      <c r="D40" s="51"/>
      <c r="E40" s="51"/>
      <c r="F40" s="51"/>
      <c r="G40" s="51"/>
      <c r="I40" s="59"/>
      <c r="J40" s="59"/>
      <c r="K40" s="59"/>
      <c r="L40" s="59"/>
    </row>
    <row r="41">
      <c r="B41" s="50" t="s">
        <v>36</v>
      </c>
      <c r="C41" s="51"/>
      <c r="D41" s="51"/>
      <c r="E41" s="51"/>
      <c r="F41" s="51"/>
      <c r="G41" s="51"/>
    </row>
    <row r="42">
      <c r="B42" s="50" t="s">
        <v>37</v>
      </c>
      <c r="C42" s="51"/>
      <c r="D42" s="51"/>
      <c r="E42" s="51"/>
      <c r="F42" s="51"/>
      <c r="G42" s="51"/>
    </row>
    <row r="43">
      <c r="B43" s="50" t="s">
        <v>38</v>
      </c>
      <c r="C43" s="51"/>
      <c r="D43" s="51"/>
      <c r="E43" s="51"/>
      <c r="F43" s="51"/>
      <c r="G43" s="51"/>
    </row>
    <row r="44">
      <c r="B44" s="50" t="s">
        <v>39</v>
      </c>
      <c r="C44" s="51"/>
      <c r="D44" s="51"/>
      <c r="E44" s="51"/>
      <c r="F44" s="51"/>
      <c r="G44" s="51"/>
    </row>
    <row r="45">
      <c r="B45" s="50" t="s">
        <v>40</v>
      </c>
      <c r="C45" s="51"/>
      <c r="D45" s="51"/>
      <c r="E45" s="51"/>
      <c r="F45" s="51"/>
      <c r="G45" s="51"/>
    </row>
    <row r="46">
      <c r="B46" s="50" t="s">
        <v>14</v>
      </c>
      <c r="C46" s="52"/>
    </row>
    <row r="47">
      <c r="B47" s="50" t="s">
        <v>13</v>
      </c>
      <c r="C47" s="52"/>
    </row>
    <row r="49">
      <c r="D49" s="38"/>
      <c r="E49" s="38"/>
      <c r="F49" s="38"/>
    </row>
    <row r="50">
      <c r="D50" s="38"/>
      <c r="E50" s="38"/>
      <c r="F50" s="38"/>
    </row>
  </sheetData>
  <mergeCells count="13">
    <mergeCell ref="B27:G28"/>
    <mergeCell ref="B31:G32"/>
    <mergeCell ref="B33:B34"/>
    <mergeCell ref="C33:D33"/>
    <mergeCell ref="E33:F33"/>
    <mergeCell ref="G33:G34"/>
    <mergeCell ref="B1:G2"/>
    <mergeCell ref="J6:O25"/>
    <mergeCell ref="B9:G10"/>
    <mergeCell ref="B11:B12"/>
    <mergeCell ref="C11:D11"/>
    <mergeCell ref="E11:F11"/>
    <mergeCell ref="G11:G12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7.25"/>
    <col customWidth="1" min="5" max="5" width="16.88"/>
    <col customWidth="1" min="6" max="6" width="16.0"/>
    <col customWidth="1" min="7" max="7" width="15.63"/>
    <col customWidth="1" min="8" max="8" width="18.0"/>
    <col customWidth="1" min="9" max="9" width="18.75"/>
    <col customWidth="1" min="11" max="11" width="13.13"/>
    <col customWidth="1" min="12" max="12" width="12.75"/>
  </cols>
  <sheetData>
    <row r="1">
      <c r="B1" s="39" t="s">
        <v>41</v>
      </c>
      <c r="I1" s="13" t="s">
        <v>9</v>
      </c>
    </row>
    <row r="2">
      <c r="I2" s="14">
        <v>46024.0</v>
      </c>
    </row>
    <row r="5">
      <c r="B5" s="15" t="s">
        <v>10</v>
      </c>
      <c r="C5" s="15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</row>
    <row r="6">
      <c r="B6" s="17" t="s">
        <v>57</v>
      </c>
      <c r="C6" s="18" t="s">
        <v>18</v>
      </c>
      <c r="D6" s="20">
        <v>24.0</v>
      </c>
      <c r="E6" s="54">
        <v>97.0</v>
      </c>
      <c r="F6" s="55">
        <v>184.0</v>
      </c>
      <c r="G6" s="21">
        <v>37160.0</v>
      </c>
      <c r="H6" s="22" t="s">
        <v>19</v>
      </c>
      <c r="J6" s="61"/>
    </row>
    <row r="7">
      <c r="B7" s="40"/>
      <c r="C7" s="40"/>
      <c r="D7" s="40"/>
      <c r="E7" s="40"/>
      <c r="F7" s="40"/>
      <c r="G7" s="40"/>
    </row>
    <row r="9">
      <c r="B9" s="23" t="s">
        <v>20</v>
      </c>
    </row>
    <row r="11">
      <c r="B11" s="24"/>
      <c r="C11" s="25" t="s">
        <v>21</v>
      </c>
      <c r="D11" s="3"/>
      <c r="E11" s="25" t="s">
        <v>22</v>
      </c>
      <c r="F11" s="3"/>
      <c r="G11" s="26" t="s">
        <v>23</v>
      </c>
    </row>
    <row r="12">
      <c r="B12" s="27"/>
      <c r="C12" s="28" t="s">
        <v>24</v>
      </c>
      <c r="D12" s="28" t="s">
        <v>25</v>
      </c>
      <c r="E12" s="28" t="s">
        <v>24</v>
      </c>
      <c r="F12" s="28" t="s">
        <v>25</v>
      </c>
      <c r="G12" s="27"/>
    </row>
    <row r="13">
      <c r="B13" s="29" t="s">
        <v>26</v>
      </c>
      <c r="C13" s="56">
        <v>33.0</v>
      </c>
      <c r="D13" s="56">
        <v>38.0</v>
      </c>
      <c r="E13" s="56">
        <v>33.0</v>
      </c>
      <c r="F13" s="56">
        <v>38.0</v>
      </c>
      <c r="G13" s="57"/>
    </row>
    <row r="14">
      <c r="B14" s="29" t="s">
        <v>28</v>
      </c>
      <c r="C14" s="56">
        <v>30.0</v>
      </c>
      <c r="D14" s="56"/>
      <c r="E14" s="56">
        <v>30.0</v>
      </c>
      <c r="F14" s="56"/>
      <c r="G14" s="57"/>
    </row>
    <row r="15">
      <c r="B15" s="29" t="s">
        <v>29</v>
      </c>
      <c r="C15" s="31"/>
      <c r="D15" s="31"/>
      <c r="E15" s="31"/>
      <c r="F15" s="31"/>
      <c r="G15" s="56">
        <v>126.0</v>
      </c>
    </row>
    <row r="16">
      <c r="B16" s="29" t="s">
        <v>30</v>
      </c>
      <c r="C16" s="31"/>
      <c r="D16" s="31"/>
      <c r="E16" s="31"/>
      <c r="F16" s="31"/>
      <c r="G16" s="56">
        <v>104.0</v>
      </c>
    </row>
    <row r="17">
      <c r="B17" s="29" t="s">
        <v>31</v>
      </c>
      <c r="C17" s="31"/>
      <c r="D17" s="31"/>
      <c r="E17" s="31"/>
      <c r="F17" s="31"/>
      <c r="G17" s="56">
        <v>95.0</v>
      </c>
    </row>
    <row r="18">
      <c r="B18" s="29" t="s">
        <v>32</v>
      </c>
      <c r="C18" s="31"/>
      <c r="D18" s="31"/>
      <c r="E18" s="31"/>
      <c r="F18" s="31"/>
      <c r="G18" s="56">
        <v>99.0</v>
      </c>
    </row>
    <row r="19">
      <c r="B19" s="29" t="s">
        <v>36</v>
      </c>
      <c r="C19" s="31"/>
      <c r="D19" s="31"/>
      <c r="E19" s="31"/>
      <c r="F19" s="31"/>
      <c r="G19" s="56">
        <v>108.0</v>
      </c>
    </row>
    <row r="20">
      <c r="B20" s="29" t="s">
        <v>37</v>
      </c>
      <c r="C20" s="56">
        <v>68.0</v>
      </c>
      <c r="D20" s="56"/>
      <c r="E20" s="56">
        <v>68.0</v>
      </c>
      <c r="F20" s="56"/>
      <c r="G20" s="57"/>
    </row>
    <row r="21">
      <c r="B21" s="29" t="s">
        <v>38</v>
      </c>
      <c r="C21" s="56">
        <v>65.0</v>
      </c>
      <c r="D21" s="56"/>
      <c r="E21" s="56">
        <v>64.0</v>
      </c>
      <c r="F21" s="56"/>
      <c r="G21" s="57"/>
    </row>
    <row r="22">
      <c r="B22" s="29" t="s">
        <v>39</v>
      </c>
      <c r="C22" s="56">
        <v>51.0</v>
      </c>
      <c r="D22" s="56"/>
      <c r="E22" s="56">
        <v>51.0</v>
      </c>
      <c r="F22" s="56"/>
      <c r="G22" s="57"/>
    </row>
    <row r="23">
      <c r="B23" s="29" t="s">
        <v>40</v>
      </c>
      <c r="C23" s="56">
        <v>41.0</v>
      </c>
      <c r="D23" s="56"/>
      <c r="E23" s="56">
        <v>41.0</v>
      </c>
      <c r="F23" s="56"/>
      <c r="G23" s="57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62"/>
      <c r="K25" s="62"/>
      <c r="L25" s="62"/>
      <c r="M25" s="62"/>
      <c r="N25" s="62"/>
      <c r="O25" s="62"/>
    </row>
    <row r="27">
      <c r="B27" s="43" t="s">
        <v>43</v>
      </c>
      <c r="J27" s="13" t="s">
        <v>33</v>
      </c>
      <c r="K27" s="13" t="s">
        <v>34</v>
      </c>
      <c r="L27" s="53" t="s">
        <v>35</v>
      </c>
    </row>
    <row r="28">
      <c r="J28" s="35">
        <f>IF(OR(E6&lt;=0, F6&lt;=0), "", E6 / (F6 * F6))*10000
</f>
        <v>28.65075614</v>
      </c>
      <c r="K28" s="36">
        <f>66+(13.8*E6)+(5*F6)-(6.8*D6)</f>
        <v>2161.4</v>
      </c>
      <c r="L28" s="37"/>
    </row>
    <row r="31">
      <c r="B31" s="44" t="s">
        <v>51</v>
      </c>
    </row>
    <row r="33">
      <c r="B33" s="45"/>
      <c r="C33" s="46" t="s">
        <v>21</v>
      </c>
      <c r="D33" s="3"/>
      <c r="E33" s="46" t="s">
        <v>22</v>
      </c>
      <c r="F33" s="3"/>
      <c r="G33" s="47" t="s">
        <v>23</v>
      </c>
    </row>
    <row r="34">
      <c r="B34" s="27"/>
      <c r="C34" s="48" t="s">
        <v>46</v>
      </c>
      <c r="D34" s="48" t="s">
        <v>47</v>
      </c>
      <c r="E34" s="48" t="s">
        <v>46</v>
      </c>
      <c r="F34" s="48" t="s">
        <v>47</v>
      </c>
      <c r="G34" s="27"/>
      <c r="I34" s="49"/>
      <c r="J34" s="49"/>
      <c r="K34" s="49"/>
      <c r="L34" s="49"/>
    </row>
    <row r="35">
      <c r="B35" s="50" t="s">
        <v>26</v>
      </c>
      <c r="C35" s="51"/>
      <c r="D35" s="51"/>
      <c r="E35" s="51"/>
      <c r="F35" s="51"/>
      <c r="G35" s="51"/>
      <c r="I35" s="49"/>
      <c r="J35" s="49"/>
      <c r="K35" s="49"/>
      <c r="L35" s="49"/>
    </row>
    <row r="36">
      <c r="B36" s="50" t="s">
        <v>28</v>
      </c>
      <c r="C36" s="51"/>
      <c r="D36" s="51"/>
      <c r="E36" s="51"/>
      <c r="F36" s="51"/>
      <c r="G36" s="51"/>
      <c r="I36" s="49"/>
      <c r="J36" s="49"/>
      <c r="K36" s="49"/>
      <c r="L36" s="49"/>
    </row>
    <row r="37">
      <c r="B37" s="50" t="s">
        <v>29</v>
      </c>
      <c r="C37" s="51"/>
      <c r="D37" s="51"/>
      <c r="E37" s="51"/>
      <c r="F37" s="51"/>
      <c r="G37" s="51"/>
      <c r="I37" s="59"/>
      <c r="J37" s="59"/>
      <c r="K37" s="59"/>
      <c r="L37" s="59"/>
    </row>
    <row r="38">
      <c r="B38" s="50" t="s">
        <v>30</v>
      </c>
      <c r="C38" s="51"/>
      <c r="D38" s="51"/>
      <c r="E38" s="51"/>
      <c r="F38" s="51"/>
      <c r="G38" s="51"/>
      <c r="I38" s="59"/>
      <c r="J38" s="59"/>
      <c r="K38" s="59"/>
      <c r="L38" s="59"/>
    </row>
    <row r="39">
      <c r="B39" s="50" t="s">
        <v>31</v>
      </c>
      <c r="C39" s="51"/>
      <c r="D39" s="51"/>
      <c r="E39" s="51"/>
      <c r="F39" s="51"/>
      <c r="G39" s="51"/>
      <c r="I39" s="59"/>
      <c r="J39" s="59"/>
      <c r="K39" s="59"/>
      <c r="L39" s="59"/>
    </row>
    <row r="40">
      <c r="B40" s="50" t="s">
        <v>32</v>
      </c>
      <c r="C40" s="51"/>
      <c r="D40" s="51"/>
      <c r="E40" s="51"/>
      <c r="F40" s="51"/>
      <c r="G40" s="51"/>
      <c r="I40" s="59"/>
      <c r="J40" s="59"/>
      <c r="K40" s="59"/>
      <c r="L40" s="59"/>
    </row>
    <row r="41">
      <c r="B41" s="50" t="s">
        <v>36</v>
      </c>
      <c r="C41" s="51"/>
      <c r="D41" s="51"/>
      <c r="E41" s="51"/>
      <c r="F41" s="51"/>
      <c r="G41" s="51"/>
    </row>
    <row r="42">
      <c r="B42" s="50" t="s">
        <v>37</v>
      </c>
      <c r="C42" s="51"/>
      <c r="D42" s="51"/>
      <c r="E42" s="51"/>
      <c r="F42" s="51"/>
      <c r="G42" s="51"/>
    </row>
    <row r="43">
      <c r="B43" s="50" t="s">
        <v>38</v>
      </c>
      <c r="C43" s="51"/>
      <c r="D43" s="51"/>
      <c r="E43" s="51"/>
      <c r="F43" s="51"/>
      <c r="G43" s="51"/>
    </row>
    <row r="44">
      <c r="B44" s="50" t="s">
        <v>39</v>
      </c>
      <c r="C44" s="51"/>
      <c r="D44" s="51"/>
      <c r="E44" s="51"/>
      <c r="F44" s="51"/>
      <c r="G44" s="51"/>
    </row>
    <row r="45">
      <c r="B45" s="50" t="s">
        <v>40</v>
      </c>
      <c r="C45" s="51"/>
      <c r="D45" s="51"/>
      <c r="E45" s="51"/>
      <c r="F45" s="51"/>
      <c r="G45" s="51"/>
    </row>
    <row r="46">
      <c r="B46" s="50" t="s">
        <v>14</v>
      </c>
      <c r="C46" s="52"/>
    </row>
    <row r="47">
      <c r="B47" s="50" t="s">
        <v>13</v>
      </c>
      <c r="C47" s="52"/>
    </row>
    <row r="49">
      <c r="D49" s="38"/>
      <c r="E49" s="38"/>
      <c r="F49" s="38"/>
    </row>
    <row r="50">
      <c r="D50" s="38"/>
      <c r="E50" s="38"/>
      <c r="F50" s="38"/>
    </row>
  </sheetData>
  <mergeCells count="13">
    <mergeCell ref="B27:G28"/>
    <mergeCell ref="B31:G32"/>
    <mergeCell ref="B33:B34"/>
    <mergeCell ref="C33:D33"/>
    <mergeCell ref="E33:F33"/>
    <mergeCell ref="G33:G34"/>
    <mergeCell ref="B1:G2"/>
    <mergeCell ref="J6:O25"/>
    <mergeCell ref="B9:G10"/>
    <mergeCell ref="B11:B12"/>
    <mergeCell ref="C11:D11"/>
    <mergeCell ref="E11:F11"/>
    <mergeCell ref="G11:G12"/>
  </mergeCells>
  <dataValidations>
    <dataValidation type="list" allowBlank="1" showErrorMessage="1" sqref="C6">
      <formula1>"Masculino,Feminino"</formula1>
    </dataValidation>
    <dataValidation type="list" allowBlank="1" showErrorMessage="1" sqref="H6">
      <formula1>"Ectomofo,Mesormofo,Endomorfo"</formula1>
    </dataValidation>
  </dataValidations>
  <hyperlinks>
    <hyperlink r:id="rId1" ref="L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